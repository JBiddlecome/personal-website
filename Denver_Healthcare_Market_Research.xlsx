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kristinbooth/Desktop/DSM/"/>
    </mc:Choice>
  </mc:AlternateContent>
  <xr:revisionPtr revIDLastSave="0" documentId="8_{9B64329F-E8E2-844C-B429-0886E9C65D95}" xr6:coauthVersionLast="47" xr6:coauthVersionMax="47" xr10:uidLastSave="{00000000-0000-0000-0000-000000000000}"/>
  <bookViews>
    <workbookView xWindow="12740" yWindow="4700" windowWidth="22260" windowHeight="20500" tabRatio="500" activeTab="5" xr2:uid="{00000000-000D-0000-FFFF-FFFF00000000}"/>
  </bookViews>
  <sheets>
    <sheet name="Read Me" sheetId="1" r:id="rId1"/>
    <sheet name="Hospital Systems" sheetId="2" r:id="rId2"/>
    <sheet name="Hospitals" sheetId="3" r:id="rId3"/>
    <sheet name="LTC Operators" sheetId="4" r:id="rId4"/>
    <sheet name="LTC Facilities" sheetId="5" r:id="rId5"/>
    <sheet name="Other Facilities" sheetId="6" r:id="rId6"/>
  </sheets>
  <definedNames>
    <definedName name="_xlnm._FilterDatabase" localSheetId="1" hidden="1">'Hospital Systems'!$A$4:$F$15</definedName>
    <definedName name="_xlnm._FilterDatabase" localSheetId="3" hidden="1">'LTC Operators'!$A$4:$F$48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17" i="5" l="1"/>
  <c r="E48" i="4"/>
  <c r="D48" i="4"/>
  <c r="C48" i="4"/>
  <c r="E47" i="4"/>
  <c r="D47" i="4"/>
  <c r="C47" i="4"/>
  <c r="E46" i="4"/>
  <c r="D46" i="4"/>
  <c r="C46" i="4"/>
  <c r="E45" i="4"/>
  <c r="D45" i="4"/>
  <c r="C45" i="4"/>
  <c r="E44" i="4"/>
  <c r="D44" i="4"/>
  <c r="C44" i="4"/>
  <c r="E43" i="4"/>
  <c r="D43" i="4"/>
  <c r="C43" i="4"/>
  <c r="E42" i="4"/>
  <c r="D42" i="4"/>
  <c r="C42" i="4"/>
  <c r="E41" i="4"/>
  <c r="D41" i="4"/>
  <c r="C41" i="4"/>
  <c r="E40" i="4"/>
  <c r="D40" i="4"/>
  <c r="C40" i="4"/>
  <c r="E39" i="4"/>
  <c r="D39" i="4"/>
  <c r="C39" i="4"/>
  <c r="E38" i="4"/>
  <c r="D38" i="4"/>
  <c r="C38" i="4"/>
  <c r="E37" i="4"/>
  <c r="D37" i="4"/>
  <c r="C37" i="4"/>
  <c r="E36" i="4"/>
  <c r="D36" i="4"/>
  <c r="C36" i="4"/>
  <c r="E35" i="4"/>
  <c r="D35" i="4"/>
  <c r="C35" i="4"/>
  <c r="E34" i="4"/>
  <c r="D34" i="4"/>
  <c r="C34" i="4"/>
  <c r="E33" i="4"/>
  <c r="D33" i="4"/>
  <c r="C33" i="4"/>
  <c r="E32" i="4"/>
  <c r="D32" i="4"/>
  <c r="C32" i="4"/>
  <c r="E31" i="4"/>
  <c r="D31" i="4"/>
  <c r="C31" i="4"/>
  <c r="E30" i="4"/>
  <c r="D30" i="4"/>
  <c r="C30" i="4"/>
  <c r="E29" i="4"/>
  <c r="D29" i="4"/>
  <c r="C29" i="4"/>
  <c r="E28" i="4"/>
  <c r="D28" i="4"/>
  <c r="C28" i="4"/>
  <c r="E27" i="4"/>
  <c r="D27" i="4"/>
  <c r="C27" i="4"/>
  <c r="E26" i="4"/>
  <c r="D26" i="4"/>
  <c r="C26" i="4"/>
  <c r="E25" i="4"/>
  <c r="D25" i="4"/>
  <c r="C25" i="4"/>
  <c r="E24" i="4"/>
  <c r="D24" i="4"/>
  <c r="C24" i="4"/>
  <c r="E23" i="4"/>
  <c r="D23" i="4"/>
  <c r="C23" i="4"/>
  <c r="E22" i="4"/>
  <c r="D22" i="4"/>
  <c r="C22" i="4"/>
  <c r="E21" i="4"/>
  <c r="D21" i="4"/>
  <c r="C21" i="4"/>
  <c r="E20" i="4"/>
  <c r="D20" i="4"/>
  <c r="C20" i="4"/>
  <c r="E19" i="4"/>
  <c r="D19" i="4"/>
  <c r="C19" i="4"/>
  <c r="E18" i="4"/>
  <c r="D18" i="4"/>
  <c r="C18" i="4"/>
  <c r="E17" i="4"/>
  <c r="D17" i="4"/>
  <c r="C17" i="4"/>
  <c r="E16" i="4"/>
  <c r="D16" i="4"/>
  <c r="C16" i="4"/>
  <c r="E15" i="4"/>
  <c r="D15" i="4"/>
  <c r="C15" i="4"/>
  <c r="E14" i="4"/>
  <c r="D14" i="4"/>
  <c r="C14" i="4"/>
  <c r="E13" i="4"/>
  <c r="D13" i="4"/>
  <c r="C13" i="4"/>
  <c r="E12" i="4"/>
  <c r="D12" i="4"/>
  <c r="C12" i="4"/>
  <c r="E11" i="4"/>
  <c r="D11" i="4"/>
  <c r="C11" i="4"/>
  <c r="E10" i="4"/>
  <c r="D10" i="4"/>
  <c r="C10" i="4"/>
  <c r="E9" i="4"/>
  <c r="D9" i="4"/>
  <c r="C9" i="4"/>
  <c r="E8" i="4"/>
  <c r="D8" i="4"/>
  <c r="C8" i="4"/>
  <c r="E7" i="4"/>
  <c r="D7" i="4"/>
  <c r="C7" i="4"/>
  <c r="E6" i="4"/>
  <c r="D6" i="4"/>
  <c r="C6" i="4"/>
  <c r="E5" i="4"/>
  <c r="E49" i="4" s="1"/>
  <c r="D5" i="4"/>
  <c r="D49" i="4" s="1"/>
  <c r="D51" i="4" s="1"/>
  <c r="C5" i="4"/>
  <c r="C49" i="4" s="1"/>
  <c r="E59" i="3"/>
  <c r="E15" i="2"/>
  <c r="D15" i="2"/>
  <c r="E14" i="2"/>
  <c r="D14" i="2"/>
  <c r="E13" i="2"/>
  <c r="D13" i="2"/>
  <c r="E12" i="2"/>
  <c r="D12" i="2"/>
  <c r="E11" i="2"/>
  <c r="D11" i="2"/>
  <c r="E10" i="2"/>
  <c r="D10" i="2"/>
  <c r="E9" i="2"/>
  <c r="D9" i="2"/>
  <c r="E8" i="2"/>
  <c r="D8" i="2"/>
  <c r="E7" i="2"/>
  <c r="E16" i="2" s="1"/>
  <c r="E18" i="2" s="1"/>
  <c r="D7" i="2"/>
  <c r="E6" i="2"/>
  <c r="D6" i="2"/>
  <c r="D16" i="2" s="1"/>
  <c r="E5" i="2"/>
  <c r="D5" i="2"/>
</calcChain>
</file>

<file path=xl/sharedStrings.xml><?xml version="1.0" encoding="utf-8"?>
<sst xmlns="http://schemas.openxmlformats.org/spreadsheetml/2006/main" count="2413" uniqueCount="970">
  <si>
    <t>Denver Metro Healthcare Market — Account Universe</t>
  </si>
  <si>
    <t>Prepared for Kristin Boothart | Hillyard, Inc. — District Sales Manager, Denver | Compiled August 14, 2026</t>
  </si>
  <si>
    <t>WHAT'S IN THIS WORKBOOK</t>
  </si>
  <si>
    <t>Hospital Systems</t>
  </si>
  <si>
    <t>Roll-up of every parent health system, ranked by total licensed beds. Live formulas pull from the Hospitals tab.</t>
  </si>
  <si>
    <t>Hospitals</t>
  </si>
  <si>
    <t>Every acute-care, children's, and specialty hospital, grouped by corporate parent, largest to smallest.</t>
  </si>
  <si>
    <t>LTC Operators</t>
  </si>
  <si>
    <t>Roll-up of every long-term care corporate operator, ranked by total licensed beds across their Colorado portfolio.</t>
  </si>
  <si>
    <t>LTC Facilities</t>
  </si>
  <si>
    <t>~250 skilled nursing, assisted living, memory care, and CCRC facilities grouped by the company that runs them.</t>
  </si>
  <si>
    <t>Other Facilities</t>
  </si>
  <si>
    <t>Rehab hospitals, LTACHs, psychiatric hospitals, surgery centers, dialysis, freestanding ERs, urgent care, clinic networks, cancer centers, imaging, hospice, occupational health.</t>
  </si>
  <si>
    <t>THREE OWNERSHIP FACTS THAT INVALIDATE MOST DENVER HOSPITAL LISTS</t>
  </si>
  <si>
    <t>1. Centura is gone.</t>
  </si>
  <si>
    <t>Centura Health dissolved in 2023-24. AdventHealth took exactly 5 hospitals (Porter, Littleton, Parker, Avista, Castle Rock); CommonSpirit took the rest. Any list still saying 'Centura' is stale — and using that name in a meeting will cost you credibility.</t>
  </si>
  <si>
    <t>2. HCA renamed 9 hospitals Oct 2024.</t>
  </si>
  <si>
    <t>'The Medical Center of Aurora' is now HCA HealthONE Aurora. 'North Suburban Medical Center' is now HCA HealthONE Mountain Ridge. Both old names still circulate widely.</t>
  </si>
  <si>
    <t>3. A major JV is pending.</t>
  </si>
  <si>
    <t>AdventHealth and Intermountain signed a definitive agreement on Aug 5, 2026 to combine AdventHealth's 5 Denver hospitals with 3 of Intermountain's (Good Samaritan, Lutheran, Platte Valley). AdventHealth gets majority interest and runs daily ops. Saint Joseph is EXCLUDED and stays with Intermountain. Expected close early 2027, pending CO Attorney General review. If it closes, that's a ~1,940-bed system and the #3 player in the metro — and it means purchasing authority for 8 hospitals is about to move.</t>
  </si>
  <si>
    <t>HOW TO READ THE COLUMNS</t>
  </si>
  <si>
    <t>Region</t>
  </si>
  <si>
    <t>Metro = 7-county Denver metro. Extended = Front Range within roughly a 50-90 minute drive (Fort Collins, Loveland, Greeley, Colorado Springs). Outside metro = the rest of Colorado, included only where an operator's portfolio spans the state.</t>
  </si>
  <si>
    <t>Licensed Beds</t>
  </si>
  <si>
    <t>State-authorized maximum, not staffed beds. Staffed counts typically run 25-50% lower. Use licensed beds for sizing the building; ask about census when sizing the order.</t>
  </si>
  <si>
    <t>Parent / Operator</t>
  </si>
  <si>
    <t>The corporate entity that controls purchasing. This is the organizing principle of the whole workbook — one contract at this level can cover dozens of buildings.</t>
  </si>
  <si>
    <t>Notes (add your own)</t>
  </si>
  <si>
    <t>Blank column for your working notes. Example: "Incumbent = Bunzl, GPO through Premier, contract renews Jun-2027, met w/ EVS Dir 9/12".</t>
  </si>
  <si>
    <t>WHERE THE LEVERAGE IS</t>
  </si>
  <si>
    <t>Six systems control roughly 90% of metro beds. HCA HealthONE and UCHealth are effectively tied for #1 and are within ~50 beds of each other. HCA is for-profit and buys through national GPO contracts out of Nashville; UCHealth, Denver Health, and Children's are more locally decided. Know which door you're knocking on.</t>
  </si>
  <si>
    <t>Long-term care</t>
  </si>
  <si>
    <t>Five phone calls cover roughly a third of Colorado's licensed LTC beds: Ensign/Endura, Life Care Centers, PACS Group, Vivage-Beecan, and Stellar. All five have centralized purchasing.</t>
  </si>
  <si>
    <t>A trap worth knowing</t>
  </si>
  <si>
    <t>Vivage-Beecan is the management company, but many of its buildings are LICENSED under 'Long Peak Operating Company' in state and CMS records. If you research by licensee you will call the wrong office. Purchasing sits with Vivage in Glendale.</t>
  </si>
  <si>
    <t>Management companies</t>
  </si>
  <si>
    <t>Cappella Living Solutions and WellAge manage buildings they do not own — so they control purchasing for facilities that will never show up under their name in a property search. Higher-leverage calls than the individual buildings.</t>
  </si>
  <si>
    <t>Nonprofit CCRC cluster</t>
  </si>
  <si>
    <t>South metro (Christian Living Communities, Wind Crest, Vi at Highlands Ranch, Covenant Living, Holly Creek, Someren Glen) — multi-building campuses where one contract covers independent living, assisted living, memory care, skilled nursing, plus commercial kitchens and large common areas.</t>
  </si>
  <si>
    <t>DaVita</t>
  </si>
  <si>
    <t>Headquartered in Denver at 2000 16th St, with ~2,600 US clinics and ~30 in the metro. A national account whose decision-makers are in your new backyard.</t>
  </si>
  <si>
    <t>CAVEATS</t>
  </si>
  <si>
    <t>1. Licensed vs staffed beds conflict across sources. Where a hospital publishes its own current figure, that was used over the 2018 Medicare cost report.</t>
  </si>
  <si>
    <t>2. Post-acute and behavioral health ownership churns through private-equity transactions faster than public sources update. Treat the Other Facilities tab's parent column as a starting point, not gospel.</t>
  </si>
  <si>
    <t>3. Ambulatory surgery centers are almost universally physician-JV LLCs. USPI, SCA Health, AmSurg, and Surgery Partners all hold Colorado stakes that are not publicly attributable by site.</t>
  </si>
  <si>
    <t>4. Urgent care is not a state license class, so those counts come from company websites and are the softest numbers here.</t>
  </si>
  <si>
    <t>5. Independent living units at CCRCs are generally unlicensed and therefore absent from state bed data — campuses like Wind Crest (~1,300-1,500 IL apartments) are far larger than their licensed bed count suggests.</t>
  </si>
  <si>
    <t>SOURCES</t>
  </si>
  <si>
    <t>CMS Care Compare nursing home provider dataset (July 2026); CDPHE Health Facilities licensing registry (~5,014 facilities); Becker's Hospital Review; Healthcare Dive; Colorado Sun; Fierce Healthcare; system and facility websites (HCA HealthONE, UCHealth, CommonSpirit Mountain Region, AdventHealth, Intermountain, Denver Health, Children's Colorado); Colorado Health Care Association; Colorado Community Health Network.</t>
  </si>
  <si>
    <t>Hospital Systems — Ranked by Total Licensed Beds</t>
  </si>
  <si>
    <t>Live roll-up from the Hospitals tab. This is your call list: six systems control roughly 90% of metro beds.</t>
  </si>
  <si>
    <t>#</t>
  </si>
  <si>
    <t>Parent System</t>
  </si>
  <si>
    <t>Ownership Type</t>
  </si>
  <si>
    <t>Total Licensed Beds</t>
  </si>
  <si>
    <t>HCA HealthONE (HCA Healthcare)</t>
  </si>
  <si>
    <t>For-profit, publicly traded (NYSE: HCA)</t>
  </si>
  <si>
    <t>Largest metro system. Buys through national GPO contracts out of Nashville — local EVS directors influence, corporate decides. Renamed 9 CO hospitals Oct 2024.</t>
  </si>
  <si>
    <t>UCHealth</t>
  </si>
  <si>
    <t>Nonprofit / state-affiliated</t>
  </si>
  <si>
    <t>Effectively tied with HCA for #1. Academic flagship at Anschutz. More locally decided than HCA.</t>
  </si>
  <si>
    <t>CommonSpirit Health (Mountain Region)</t>
  </si>
  <si>
    <t>Nonprofit Catholic</t>
  </si>
  <si>
    <t>Took 12 of the former Centura Colorado hospitals in the 2023-24 split. National Catholic system, Chicago HQ.</t>
  </si>
  <si>
    <t>AdventHealth Rocky Mountain Region</t>
  </si>
  <si>
    <t>Nonprofit, Seventh-day Adventist</t>
  </si>
  <si>
    <t>Took exactly 5 Centura hospitals. PENDING JV with Intermountain — will run 8 Denver hospitals if it closes early 2027.</t>
  </si>
  <si>
    <t>Intermountain Health</t>
  </si>
  <si>
    <t>Nonprofit (formerly SCL Health)</t>
  </si>
  <si>
    <t>3 of its 4 CO hospitals are in the pending AdventHealth JV. Saint Joseph stays with Intermountain.</t>
  </si>
  <si>
    <t>Children's Hospital Colorado</t>
  </si>
  <si>
    <t>Independent nonprofit</t>
  </si>
  <si>
    <t>Only ACS-verified Level I Pediatric Trauma Center in Colorado. Top-10 nationally.</t>
  </si>
  <si>
    <t>Denver Health (public authority)</t>
  </si>
  <si>
    <t>Public safety-net authority</t>
  </si>
  <si>
    <t>Public safety-net. Political subdivision of the State of Colorado — expect public procurement rules and formal bidding.</t>
  </si>
  <si>
    <t>US Dept. of Veterans Affairs</t>
  </si>
  <si>
    <t>Federal</t>
  </si>
  <si>
    <t>Federal procurement. Requires SAM registration and likely a GSA/FSS schedule or VA contract vehicle.</t>
  </si>
  <si>
    <t>Boulder Community Health (independent)</t>
  </si>
  <si>
    <t>One of Colorado's last independent community hospitals. Local decision-making.</t>
  </si>
  <si>
    <t>Craig Hospital (independent nonprofit)</t>
  </si>
  <si>
    <t>Independent nonprofit, nationally ranked neurorehab. Single-site decision.</t>
  </si>
  <si>
    <t>National Jewish Health (independent)</t>
  </si>
  <si>
    <t>#1 respiratory hospital in the US. Single site; partners with Saint Joseph.</t>
  </si>
  <si>
    <t>TOTAL</t>
  </si>
  <si>
    <t>Top 6 systems as % of all listed beds:</t>
  </si>
  <si>
    <t>If the AdventHealth-Intermountain JV closes (expected early 2027), AdventHealth + Good Samaritan + Lutheran + Platte Valley combine into a ~1,940-bed system, and Intermountain drops to one Colorado hospital.</t>
  </si>
  <si>
    <t>Hospitals — Denver Metro and Front Range, by Corporate Parent</t>
  </si>
  <si>
    <t>Grouped by parent health system (systems ordered by total beds), hospitals within each system ordered largest to smallest.</t>
  </si>
  <si>
    <t>Hospital</t>
  </si>
  <si>
    <t>City</t>
  </si>
  <si>
    <t>Type</t>
  </si>
  <si>
    <t>HCA HealthONE (HCA Healthcare)  —  8 hospital(s), 2,471 licensed beds</t>
  </si>
  <si>
    <t>HCA HealthONE Presbyterian St. Luke's</t>
  </si>
  <si>
    <t>Denver</t>
  </si>
  <si>
    <t>General acute / tertiary</t>
  </si>
  <si>
    <t>Metro</t>
  </si>
  <si>
    <t>Solid organ + bone marrow transplant; Colorado Blood Cancer Institute</t>
  </si>
  <si>
    <t>HCA HealthONE Swedish</t>
  </si>
  <si>
    <t>Englewood</t>
  </si>
  <si>
    <t>General acute</t>
  </si>
  <si>
    <t>LEVEL I TRAUMA; burn center; state's first Comprehensive Stroke Center; 21 ORs</t>
  </si>
  <si>
    <t>HCA HealthONE Rose</t>
  </si>
  <si>
    <t>Magnet since 2017; women's services / NICU</t>
  </si>
  <si>
    <t>HCA HealthONE Aurora</t>
  </si>
  <si>
    <t>Aurora</t>
  </si>
  <si>
    <t>RENAMED Oct 2024 (was The Medical Center of Aurora). Level II Trauma; 84-bed cardiac tower</t>
  </si>
  <si>
    <t>HCA HealthONE Sky Ridge</t>
  </si>
  <si>
    <t>Lone Tree</t>
  </si>
  <si>
    <t>Level II Trauma; Douglas County's first hospital</t>
  </si>
  <si>
    <t>HCA HealthONE Mountain Ridge</t>
  </si>
  <si>
    <t>Thornton</t>
  </si>
  <si>
    <t>RENAMED Oct 2024 (was North Suburban Medical Center). Level II Trauma</t>
  </si>
  <si>
    <t>HCA HealthONE Spalding Rehabilitation</t>
  </si>
  <si>
    <t>Inpatient rehab</t>
  </si>
  <si>
    <t>Colorado's first licensed rehab hospital (1965)</t>
  </si>
  <si>
    <t>HCA HealthONE Rocky Mountain Children's</t>
  </si>
  <si>
    <t>Children's</t>
  </si>
  <si>
    <t>Hospital-within-hospital at Presbyterian St. Luke's (~53 beds) - NOT counted separately</t>
  </si>
  <si>
    <t>UCHealth  —  10 hospital(s), 2,318 licensed beds</t>
  </si>
  <si>
    <t>UCHealth University of Colorado Hospital</t>
  </si>
  <si>
    <t>Academic medical center</t>
  </si>
  <si>
    <t>LEVEL I TRAUMA; principal teaching hospital, CU School of Medicine; Anschutz campus</t>
  </si>
  <si>
    <t>UCHealth Memorial Hospital Central</t>
  </si>
  <si>
    <t>Colorado Springs</t>
  </si>
  <si>
    <t>Extended</t>
  </si>
  <si>
    <t>Level I Trauma; Comprehensive Stroke Center</t>
  </si>
  <si>
    <t>UCHealth Memorial Hospital North</t>
  </si>
  <si>
    <t>Approximate - shares a 713-bed combined license with Central</t>
  </si>
  <si>
    <t>UCHealth Poudre Valley Hospital</t>
  </si>
  <si>
    <t>Fort Collins</t>
  </si>
  <si>
    <t>Sources vary 270-300; NICU; hyperbarics</t>
  </si>
  <si>
    <t>UCHealth Medical Center of the Rockies</t>
  </si>
  <si>
    <t>Loveland</t>
  </si>
  <si>
    <t>Level I Trauma; cardiac specialty; LifeLine air transport</t>
  </si>
  <si>
    <t>UCHealth Highlands Ranch Hospital</t>
  </si>
  <si>
    <t>Highlands Ranch</t>
  </si>
  <si>
    <t>Opened 2019; $119M expansion underway</t>
  </si>
  <si>
    <t>UCHealth Longs Peak Hospital</t>
  </si>
  <si>
    <t>Longmont</t>
  </si>
  <si>
    <t>Primary Stroke Center</t>
  </si>
  <si>
    <t>UCHealth Greeley Hospital</t>
  </si>
  <si>
    <t>Greeley</t>
  </si>
  <si>
    <t>Opened 2019; expanded 2023</t>
  </si>
  <si>
    <t>UCHealth Grandview Hospital</t>
  </si>
  <si>
    <t>General acute / ortho</t>
  </si>
  <si>
    <t>Joint Commission-certified hip &amp; knee replacement</t>
  </si>
  <si>
    <t>UCHealth Broomfield Hospital</t>
  </si>
  <si>
    <t>Broomfield</t>
  </si>
  <si>
    <t>Community acute</t>
  </si>
  <si>
    <t>Opened 2016</t>
  </si>
  <si>
    <t>CommonSpirit Health (Mountain Region)  —  7 hospital(s), 1,324 licensed beds</t>
  </si>
  <si>
    <t>CommonSpirit St. Francis Hospital</t>
  </si>
  <si>
    <t>Level III Trauma; Level III NICU; Flight For Life home base</t>
  </si>
  <si>
    <t>CommonSpirit Penrose Hospital</t>
  </si>
  <si>
    <t>Level II state / Level I ACS-verified trauma; cancer &amp; cardiac referral center</t>
  </si>
  <si>
    <t>CommonSpirit St. Anthony Hospital</t>
  </si>
  <si>
    <t>Lakewood</t>
  </si>
  <si>
    <t>LEVEL I TRAUMA + Comprehensive Stroke; HQ of Flight For Life Colorado</t>
  </si>
  <si>
    <t>CommonSpirit St. Anthony North Hospital</t>
  </si>
  <si>
    <t>Westminster</t>
  </si>
  <si>
    <t>Level III Trauma; new bed tower 2024 (237 at full build-out)</t>
  </si>
  <si>
    <t>Longmont United Hospital</t>
  </si>
  <si>
    <t>Level III Trauma; Level II NICU. Confirmed CommonSpirit, not AdventHealth</t>
  </si>
  <si>
    <t>OrthoColorado Hospital</t>
  </si>
  <si>
    <t>Specialty - ortho/spine</t>
  </si>
  <si>
    <t>JV with local ortho practices; only ortho/spine specialty hospital in the Rockies</t>
  </si>
  <si>
    <t>CommonSpirit St. Francis Hospital - Interquest</t>
  </si>
  <si>
    <t>Neighborhood acute</t>
  </si>
  <si>
    <t>Approximate; newer small-format hospital</t>
  </si>
  <si>
    <t>AdventHealth Rocky Mountain Region  —  5 hospital(s), 978 licensed beds</t>
  </si>
  <si>
    <t>AdventHealth Porter</t>
  </si>
  <si>
    <t>Level III Trauma; organ transplant (kidney/liver/pancreas); behavioral health; teaching hospital</t>
  </si>
  <si>
    <t>AdventHealth Littleton</t>
  </si>
  <si>
    <t>Littleton</t>
  </si>
  <si>
    <t>Level II Trauma; Comprehensive Stroke; heart &amp; vascular tower opened Aug 2025</t>
  </si>
  <si>
    <t>AdventHealth Parker</t>
  </si>
  <si>
    <t>Parker</t>
  </si>
  <si>
    <t>Level II Trauma; $300M seven-story tower broke ground Jan 2025</t>
  </si>
  <si>
    <t>AdventHealth Avista</t>
  </si>
  <si>
    <t>Louisville</t>
  </si>
  <si>
    <t>Level III Trauma; replacement hospital planned at 123 beds</t>
  </si>
  <si>
    <t>AdventHealth Castle Rock</t>
  </si>
  <si>
    <t>Castle Rock</t>
  </si>
  <si>
    <t>Level III Trauma; cancer center opened Feb 2026</t>
  </si>
  <si>
    <t>Intermountain Health  —  4 hospital(s), 958 licensed beds</t>
  </si>
  <si>
    <t>Intermountain Health Saint Joseph Hospital</t>
  </si>
  <si>
    <t>EXCLUDED from the pending AdventHealth JV - stays with Intermountain</t>
  </si>
  <si>
    <t>Intermountain Health Good Samaritan Hospital</t>
  </si>
  <si>
    <t>Lafayette</t>
  </si>
  <si>
    <t>Level II Trauma. IN PENDING ADVENTHEALTH JV</t>
  </si>
  <si>
    <t>Intermountain Health Lutheran Hospital</t>
  </si>
  <si>
    <t>Wheat Ridge</t>
  </si>
  <si>
    <t>Level II Trauma; brand-new replacement campus opened Aug 2024. IN PENDING ADVENTHEALTH JV</t>
  </si>
  <si>
    <t>Intermountain Health Platte Valley Hospital</t>
  </si>
  <si>
    <t>Brighton</t>
  </si>
  <si>
    <t>IN PENDING ADVENTHEALTH JV</t>
  </si>
  <si>
    <t>Children's Hospital Colorado  —  4 hospital(s), 543 licensed beds</t>
  </si>
  <si>
    <t>Children's Hospital Colorado - Anschutz</t>
  </si>
  <si>
    <t>Only ACS-verified Level I Pediatric Trauma Center in Colorado; Level IV NICU; US News top-10</t>
  </si>
  <si>
    <t>Children's Hospital Colorado - Colorado Springs</t>
  </si>
  <si>
    <t>Approximate; full inpatient pediatric</t>
  </si>
  <si>
    <t>Children's Hospital Colorado - North Campus</t>
  </si>
  <si>
    <t>Children's - outpatient/ED</t>
  </si>
  <si>
    <t>Primarily ED and outpatient</t>
  </si>
  <si>
    <t>Children's Hospital Colorado - South Campus</t>
  </si>
  <si>
    <t>Denver Health (public authority)  —  1 hospital(s), 525 licensed beds</t>
  </si>
  <si>
    <t>Denver Health Medical Center</t>
  </si>
  <si>
    <t>General acute / safety-net</t>
  </si>
  <si>
    <t>LEVEL I ADULT TRAUMA / Level II Pediatric. Rocky Mountain Poison &amp; Drug Center; city 911/EMS</t>
  </si>
  <si>
    <t>US Dept. of Veterans Affairs  —  1 hospital(s), 187 licensed beds</t>
  </si>
  <si>
    <t>Rocky Mountain Regional VA Medical Center</t>
  </si>
  <si>
    <t>Federal general acute</t>
  </si>
  <si>
    <t>VA Eastern Colorado; spinal cord injury &amp; polytrauma centers</t>
  </si>
  <si>
    <t>Boulder Community Health (independent)  —  1 hospital(s), 167 licensed beds</t>
  </si>
  <si>
    <t>Boulder Community Foothills Hospital</t>
  </si>
  <si>
    <t>Boulder</t>
  </si>
  <si>
    <t>Level II Trauma; one of Colorado's last independent community hospitals</t>
  </si>
  <si>
    <t>Craig Hospital (independent nonprofit)  —  1 hospital(s), 93 licensed beds</t>
  </si>
  <si>
    <t>Craig Hospital</t>
  </si>
  <si>
    <t>Specialty - neurorehab</t>
  </si>
  <si>
    <t>Nationally top-ranked spinal cord injury / TBI rehab &amp; research</t>
  </si>
  <si>
    <t>National Jewish Health (independent)  —  1 hospital(s), 46 licensed beds</t>
  </si>
  <si>
    <t>National Jewish Health</t>
  </si>
  <si>
    <t>Specialty - respiratory</t>
  </si>
  <si>
    <t>#1 respiratory hospital in the US (US News); partners with Saint Joseph Hospital</t>
  </si>
  <si>
    <t>TOTAL — all hospitals listed</t>
  </si>
  <si>
    <t>Excluded as outside the Front Range corridor: UCHealth Parkview (Pueblo, 350) and Parkview Pueblo West; CommonSpirit St. Anthony Summit (Frisco), St. Mary-Corwin (Pueblo), Mercy (Durango), St. Thomas More (Canon City), St. Elizabeth (Fort Morgan); UCHealth Pikes Peak Regional (Woodland Park) and Yampa Valley (Steamboat Springs).</t>
  </si>
  <si>
    <t>Kaiser Permanente Colorado owns NO hospitals in the state — it contracts for inpatient care. Big provider, zero beds. See the Other Facilities tab for its 34 medical offices.</t>
  </si>
  <si>
    <t>Long-Term Care Operators — Ranked by Total Licensed Beds</t>
  </si>
  <si>
    <t>Live roll-up from the LTC Facilities tab. One contract at this level can cover dozens of buildings.</t>
  </si>
  <si>
    <t>Corporate Operator</t>
  </si>
  <si>
    <t>Facilities</t>
  </si>
  <si>
    <t>Metro Facilities</t>
  </si>
  <si>
    <t>The Ensign Group (Endura Healthcare)</t>
  </si>
  <si>
    <t>LARGEST LTC operator in Colorado. Decentralized by design — each building is its own operating subsidiary with local P&amp;L authority — but Endura Healthcare (Dave Jorgensen) is the right entry point for a portfolio deal.</t>
  </si>
  <si>
    <t>Life Care Centers of America</t>
  </si>
  <si>
    <t>Cleveland TN, privately held (Forrest Preston). Centralized purchasing.</t>
  </si>
  <si>
    <t>PACS Group (NYSE: PACS)</t>
  </si>
  <si>
    <t>Utah-based public company. Brands everything '...Post Acute'. Has been under Colorado media and regulatory scrutiny.</t>
  </si>
  <si>
    <t>Vivage-Beecan Senior Living</t>
  </si>
  <si>
    <t>COLORADO-BASED (Glendale). Merged with Beecan Feb 2023. WATCH OUT: many buildings are licensed under 'Long Peak Operating Company' in state/CMS records — purchasing sits with Vivage.</t>
  </si>
  <si>
    <t>Stellar Senior Living</t>
  </si>
  <si>
    <t>Utah-based but Colorado is its largest state. Mixed SNF + AL/MC portfolio — good single-contract target.</t>
  </si>
  <si>
    <t>MorningStar Senior Living (Denver HQ)</t>
  </si>
  <si>
    <t>HEADQUARTERED IN DENVER. AL/IL/MC only, no skilled nursing. 40+ communities across the West.</t>
  </si>
  <si>
    <t>Brookdale Senior Living</t>
  </si>
  <si>
    <t>Largest US senior living operator. Mostly AL/IL/MC in Colorado plus two SNF units. 11 additional IL-only communities carry no licensed beds.</t>
  </si>
  <si>
    <t>Independent</t>
  </si>
  <si>
    <t>Large single-site buildings with no corporate parent — local decision-makers, faster sales cycles, but one building per contract.</t>
  </si>
  <si>
    <t>Bello / Maze / Swain / Myers family group (Accel)</t>
  </si>
  <si>
    <t>Sunrise Senior Living</t>
  </si>
  <si>
    <t>6 communities, ALL in the Denver metro. Tight geographic cluster.</t>
  </si>
  <si>
    <t>Bethesda Senior Living Communities</t>
  </si>
  <si>
    <t>Colorado Springs nonprofit. Only one metro building (Thornton).</t>
  </si>
  <si>
    <t>Veritas Management Group</t>
  </si>
  <si>
    <t>Centennial Healthcare</t>
  </si>
  <si>
    <t>Madison Creek Partners</t>
  </si>
  <si>
    <t>State of Colorado (Veterans Community Living Centers)</t>
  </si>
  <si>
    <t>Operated by Colorado Dept. of Human Services. State procurement rules apply.</t>
  </si>
  <si>
    <t>Columbine Health Systems</t>
  </si>
  <si>
    <t>Family-owned, Fort Collins/Larimer County only. Not metro.</t>
  </si>
  <si>
    <t>Ciel Senior Living</t>
  </si>
  <si>
    <t>5 communities, all Denver metro. Several licensed under legal entity names (Ridge Pinehurst LLC, Stonebridge Senior LLC) — hard to find by brand.</t>
  </si>
  <si>
    <t>Christian Living Communities / Cappella</t>
  </si>
  <si>
    <t>Greenwood Village nonprofit. Cappella Living Solutions is its third-party MANAGEMENT arm — it controls purchasing for buildings it doesn't own.</t>
  </si>
  <si>
    <t>Balfour Senior Living (Kisco Senior Living)</t>
  </si>
  <si>
    <t>Colorado-founded (Louisville CO), now owned by Kisco. All 6 communities in metro/Boulder County.</t>
  </si>
  <si>
    <t>Ivy Living</t>
  </si>
  <si>
    <t>Frontline Management</t>
  </si>
  <si>
    <t>Sweetwater Care</t>
  </si>
  <si>
    <t>American Baptist Homes of the Midwest</t>
  </si>
  <si>
    <t>Erickson Senior Living</t>
  </si>
  <si>
    <t>Wind Crest in Highlands Ranch — one of the largest single senior campuses in Colorado. Licensed beds understate it badly: ~1,300-1,500 unlicensed independent living apartments on top.</t>
  </si>
  <si>
    <t>Eaton Senior Communities</t>
  </si>
  <si>
    <t>Good Samaritan Society (Sanford Health)</t>
  </si>
  <si>
    <t>Northern Colorado only — NO Denver metro presence.</t>
  </si>
  <si>
    <t>CommonSpirit Health</t>
  </si>
  <si>
    <t>Independent (MGL Partners dev.)</t>
  </si>
  <si>
    <t>Legend Senior Living</t>
  </si>
  <si>
    <t>Cogir Senior Living</t>
  </si>
  <si>
    <t>Amira Senior Living</t>
  </si>
  <si>
    <t>Gardens Care Senior Living</t>
  </si>
  <si>
    <t>Volunteers of America National Services</t>
  </si>
  <si>
    <t>VOA Colorado's metro footprint is unlicensed affordable senior housing, not licensed LTC.</t>
  </si>
  <si>
    <t>Juniper Communities</t>
  </si>
  <si>
    <t>Clear Choice Healthcare</t>
  </si>
  <si>
    <t>Advanced Health Care</t>
  </si>
  <si>
    <t>Covenant Living Communities</t>
  </si>
  <si>
    <t>Solera Senior Living (Denver HQ)</t>
  </si>
  <si>
    <t>Atria Senior Living</t>
  </si>
  <si>
    <t>Cassia</t>
  </si>
  <si>
    <t>Senior Lifestyle</t>
  </si>
  <si>
    <t>Vi Living</t>
  </si>
  <si>
    <t>WellAge Senior Living</t>
  </si>
  <si>
    <t>MANAGEMENT COMPANY affiliated with the Vivage leadership group. Controls purchasing for buildings it doesn't own.</t>
  </si>
  <si>
    <t>Top 5 operators as % of all listed LTC beds:</t>
  </si>
  <si>
    <t>Long-Term Care Facilities — Grouped by Corporate Operator</t>
  </si>
  <si>
    <t>Skilled nursing, assisted living, memory care and CCRCs. Operators ordered by total beds; facilities within each ordered largest to smallest.</t>
  </si>
  <si>
    <t>Facility</t>
  </si>
  <si>
    <t>Care Type</t>
  </si>
  <si>
    <t>The Ensign Group (Endura Healthcare)  —  33 facilities (22 in metro), 3,664 licensed beds</t>
  </si>
  <si>
    <t>Hampden Hills Post Acute</t>
  </si>
  <si>
    <t>Skilled nursing</t>
  </si>
  <si>
    <t>Oakwood Care and Rehabilitation</t>
  </si>
  <si>
    <t>Malley Transitional Care Center</t>
  </si>
  <si>
    <t>Northglenn</t>
  </si>
  <si>
    <t>The Villas at Sunny Acres</t>
  </si>
  <si>
    <t>On CCRC campus</t>
  </si>
  <si>
    <t>Parker Post Acute</t>
  </si>
  <si>
    <t>Rock Canyon Respiratory &amp; Rehabilitation</t>
  </si>
  <si>
    <t>Pueblo</t>
  </si>
  <si>
    <t>Outside metro</t>
  </si>
  <si>
    <t>Boulder Canyon Health &amp; Rehabilitation</t>
  </si>
  <si>
    <t>Holly Heights Care &amp; Rehabilitation</t>
  </si>
  <si>
    <t>Durango Health &amp; Rehabilitation</t>
  </si>
  <si>
    <t>Durango</t>
  </si>
  <si>
    <t>The Springs at St. Andrews Village</t>
  </si>
  <si>
    <t>SNF + assisted living</t>
  </si>
  <si>
    <t>58 SNF + 72 AL</t>
  </si>
  <si>
    <t>Julia Temple Healthcare Center</t>
  </si>
  <si>
    <t>City Park Healthcare &amp; Rehabilitation</t>
  </si>
  <si>
    <t>Ridgeview Post Acute</t>
  </si>
  <si>
    <t>Commerce City</t>
  </si>
  <si>
    <t>McIntosh Care &amp; Rehabilitation</t>
  </si>
  <si>
    <t>Brighton Care Center</t>
  </si>
  <si>
    <t>Westlake Health &amp; Rehabilitation</t>
  </si>
  <si>
    <t>Lakeshore Post Acute</t>
  </si>
  <si>
    <t>Rehabilitation &amp; Nursing Center of the Rockies</t>
  </si>
  <si>
    <t>South Valley Post Acute</t>
  </si>
  <si>
    <t>Pelican Pointe Health &amp; Rehabilitation</t>
  </si>
  <si>
    <t>Windsor</t>
  </si>
  <si>
    <t>The Rehabilitation Center at Sandalwood</t>
  </si>
  <si>
    <t>Broadview Health &amp; Rehabilitation</t>
  </si>
  <si>
    <t>Riverbend Health &amp; Rehabilitation</t>
  </si>
  <si>
    <t>The Healthcare Resort of Colorado Springs</t>
  </si>
  <si>
    <t>Irondale Post Acute</t>
  </si>
  <si>
    <t>Mapleton Post Acute</t>
  </si>
  <si>
    <t>Englewood Post Acute &amp; Rehabilitation</t>
  </si>
  <si>
    <t>Berthoud Care &amp; Rehabilitation</t>
  </si>
  <si>
    <t>Berthoud</t>
  </si>
  <si>
    <t>Edgewater Health &amp; Rehabilitation</t>
  </si>
  <si>
    <t>Medallion Post Acute Rehabilitation</t>
  </si>
  <si>
    <t>Arvada Care &amp; Rehabilitation</t>
  </si>
  <si>
    <t>Arvada</t>
  </si>
  <si>
    <t>Sloan's Lake Rehabilitation Center</t>
  </si>
  <si>
    <t>Littleton Care &amp; Rehabilitation</t>
  </si>
  <si>
    <t>Life Care Centers of America  —  22 facilities (12 in metro), 2,929 licensed beds</t>
  </si>
  <si>
    <t>Life Care Center of Longmont</t>
  </si>
  <si>
    <t>187 SNF + 70 AL (The Bridge)</t>
  </si>
  <si>
    <t>Briarwood Health Care Center</t>
  </si>
  <si>
    <t>Life Care Center of Greeley</t>
  </si>
  <si>
    <t>124 SNF + 70 AL (The Bridge)</t>
  </si>
  <si>
    <t>Life Care Center of Pueblo</t>
  </si>
  <si>
    <t>University Park Care Center</t>
  </si>
  <si>
    <t>Life Care Center of Aurora</t>
  </si>
  <si>
    <t>Hallmark Nursing Center</t>
  </si>
  <si>
    <t>Western Hills Health Care Center</t>
  </si>
  <si>
    <t>Life Care Center of Colorado Springs</t>
  </si>
  <si>
    <t>Life Care Center of Evergreen</t>
  </si>
  <si>
    <t>Evergreen</t>
  </si>
  <si>
    <t>Life Care Center of Westminster</t>
  </si>
  <si>
    <t>Life Care Center of Littleton</t>
  </si>
  <si>
    <t>Life Care Center of Stonegate</t>
  </si>
  <si>
    <t>Valley View Villa</t>
  </si>
  <si>
    <t>Fort Morgan</t>
  </si>
  <si>
    <t>Garden Terrace Alzheimer's Center of Excellence</t>
  </si>
  <si>
    <t>SNF / memory care</t>
  </si>
  <si>
    <t>Berkley Manor Care Center</t>
  </si>
  <si>
    <t>Columbine Manor Care Center</t>
  </si>
  <si>
    <t>Salida</t>
  </si>
  <si>
    <t>Villa Manor Care Center</t>
  </si>
  <si>
    <t>Heritage Park Care Center</t>
  </si>
  <si>
    <t>Carbondale</t>
  </si>
  <si>
    <t>San Luis Care Center</t>
  </si>
  <si>
    <t>Alamosa</t>
  </si>
  <si>
    <t>Evergreen Nursing Home</t>
  </si>
  <si>
    <t>Canon Lodge Care Center</t>
  </si>
  <si>
    <t>Canon City</t>
  </si>
  <si>
    <t>PACS Group (NYSE: PACS)  —  19 facilities (14 in metro), 2,409 licensed beds</t>
  </si>
  <si>
    <t>Skylake Post Acute</t>
  </si>
  <si>
    <t>Pikes Peak Post Acute</t>
  </si>
  <si>
    <t>Mountain View Post Acute</t>
  </si>
  <si>
    <t>Boulder Post Acute</t>
  </si>
  <si>
    <t>Hilltop Park Post Acute</t>
  </si>
  <si>
    <t>Winding Trails Post Acute</t>
  </si>
  <si>
    <t>Atlas Post Acute</t>
  </si>
  <si>
    <t>Coal Creek Post Acute &amp; Assisted Living</t>
  </si>
  <si>
    <t>70 SNF + 60 AL</t>
  </si>
  <si>
    <t>Highline Post Acute</t>
  </si>
  <si>
    <t>Heights Care &amp; Rehabilitation</t>
  </si>
  <si>
    <t>Lakewood Post Acute &amp; Rehabilitation</t>
  </si>
  <si>
    <t>Riverdale Post Acute</t>
  </si>
  <si>
    <t>Sierra Post Acute</t>
  </si>
  <si>
    <t>Red Cliffs Post Acute</t>
  </si>
  <si>
    <t>Grand Junction</t>
  </si>
  <si>
    <t>Amberwood Post Acute</t>
  </si>
  <si>
    <t>Westwood Post Acute</t>
  </si>
  <si>
    <t>Lakeside Post Acute</t>
  </si>
  <si>
    <t>Eagle Ridge Post Acute</t>
  </si>
  <si>
    <t>Brookshire Post Acute</t>
  </si>
  <si>
    <t>Vivage-Beecan Senior Living  —  23 facilities (15 in metro), 1,909 licensed beds</t>
  </si>
  <si>
    <t>Harmony Pointe Nursing Center</t>
  </si>
  <si>
    <t>Licensed under Long Peak Operating Co.</t>
  </si>
  <si>
    <t>Arbor View Care Center</t>
  </si>
  <si>
    <t>Cambridge Care Center</t>
  </si>
  <si>
    <t>Crestmoor Care Center</t>
  </si>
  <si>
    <t>University Heights Care Center</t>
  </si>
  <si>
    <t>Thornton Care Center</t>
  </si>
  <si>
    <t>Aviva at Fitzsimons</t>
  </si>
  <si>
    <t>Canyon View Care Center</t>
  </si>
  <si>
    <t>Palisade</t>
  </si>
  <si>
    <t>Allison Care Center</t>
  </si>
  <si>
    <t>Devonshire Care Center</t>
  </si>
  <si>
    <t>Sterling</t>
  </si>
  <si>
    <t>Denver North Care Center</t>
  </si>
  <si>
    <t>Colorow Care Center</t>
  </si>
  <si>
    <t>Olathe</t>
  </si>
  <si>
    <t>Wellsprings Care Center</t>
  </si>
  <si>
    <t>Clear Creek Care Center</t>
  </si>
  <si>
    <t>Uptown Healthcare Center</t>
  </si>
  <si>
    <t>Hope Springs Care Center</t>
  </si>
  <si>
    <t>Montrose</t>
  </si>
  <si>
    <t>Parkview Care Center</t>
  </si>
  <si>
    <t>Rowan Community</t>
  </si>
  <si>
    <t>Wheatridge Manor Care Center</t>
  </si>
  <si>
    <t>Valley View Health Care Center</t>
  </si>
  <si>
    <t>Bluestem Village</t>
  </si>
  <si>
    <t>La Junta</t>
  </si>
  <si>
    <t>Regent Park Nursing &amp; Rehab</t>
  </si>
  <si>
    <t>Holyoke</t>
  </si>
  <si>
    <t>Holly Nursing Care Center</t>
  </si>
  <si>
    <t>Holly</t>
  </si>
  <si>
    <t>Stellar Senior Living  —  12 facilities (5 in metro), 1,646 licensed beds</t>
  </si>
  <si>
    <t>Lakewood Reserve</t>
  </si>
  <si>
    <t>AL / memory care / IL</t>
  </si>
  <si>
    <t>LARGEST non-hospital LTC building in the metro</t>
  </si>
  <si>
    <t>Cherrelyn Healthcare Center</t>
  </si>
  <si>
    <t>Bear Creek Senior Living</t>
  </si>
  <si>
    <t>AL + SNF</t>
  </si>
  <si>
    <t>137 AL + 45 SNF</t>
  </si>
  <si>
    <t>Acoya Cherry Creek</t>
  </si>
  <si>
    <t>AL / IL / memory care</t>
  </si>
  <si>
    <t>The Grand at Broomfield</t>
  </si>
  <si>
    <t>Cedars Healthcare Center</t>
  </si>
  <si>
    <t>Winslow Court</t>
  </si>
  <si>
    <t>Assisted living</t>
  </si>
  <si>
    <t>La Villa Grande Care Center</t>
  </si>
  <si>
    <t>SNF / AL</t>
  </si>
  <si>
    <t>Springs Village Care Center</t>
  </si>
  <si>
    <t>Mantey Heights Rehabilitation</t>
  </si>
  <si>
    <t>Skyline Ridge Nursing &amp; Rehab</t>
  </si>
  <si>
    <t>Willow Tree Care Center</t>
  </si>
  <si>
    <t>Delta</t>
  </si>
  <si>
    <t>MorningStar Senior Living (Denver HQ)  —  15 facilities (11 in metro), 1,476 licensed beds</t>
  </si>
  <si>
    <t>MorningStar of Parker</t>
  </si>
  <si>
    <t>MorningStar of Longmont</t>
  </si>
  <si>
    <t>MorningStar at RidgeGate</t>
  </si>
  <si>
    <t>MorningStar at Applewood</t>
  </si>
  <si>
    <t>AL / memory care</t>
  </si>
  <si>
    <t>MorningStar of Boulder</t>
  </si>
  <si>
    <t>MorningStar of Littleton</t>
  </si>
  <si>
    <t>MorningStar at Jordan</t>
  </si>
  <si>
    <t>Centennial</t>
  </si>
  <si>
    <t>MorningStar at Observatory Park</t>
  </si>
  <si>
    <t>MorningStar of Fort Collins</t>
  </si>
  <si>
    <t>MorningStar at Old Town</t>
  </si>
  <si>
    <t>MorningStar of Arvada</t>
  </si>
  <si>
    <t>MorningStar at Holly Park</t>
  </si>
  <si>
    <t>MorningStar of Wheat Ridge</t>
  </si>
  <si>
    <t>MorningStar at Bear Creek</t>
  </si>
  <si>
    <t>Memory care</t>
  </si>
  <si>
    <t>Bed count not published</t>
  </si>
  <si>
    <t>MorningStar at Mountain Shadows</t>
  </si>
  <si>
    <t>Brookdale Senior Living  —  12 facilities (9 in metro), 1,225 licensed beds</t>
  </si>
  <si>
    <t>Brookdale Skyline</t>
  </si>
  <si>
    <t>CCRC</t>
  </si>
  <si>
    <t>187 AL + 82 SNF</t>
  </si>
  <si>
    <t>Brookdale Greenwood Village</t>
  </si>
  <si>
    <t>Greenwood Village</t>
  </si>
  <si>
    <t>134 AL + 90 SNF</t>
  </si>
  <si>
    <t>Brookdale Mariana Butte</t>
  </si>
  <si>
    <t>Brookdale Parkplace</t>
  </si>
  <si>
    <t>AL / IL</t>
  </si>
  <si>
    <t>Brookdale Arvada</t>
  </si>
  <si>
    <t>Brookdale Boulder Creek</t>
  </si>
  <si>
    <t>Brookdale Highlands Ranch</t>
  </si>
  <si>
    <t>Brookdale Fort Collins AL</t>
  </si>
  <si>
    <t>Brookdale Pinehurst Park</t>
  </si>
  <si>
    <t>Brookdale Littleton</t>
  </si>
  <si>
    <t>Brookdale Brighton</t>
  </si>
  <si>
    <t>Brookdale IL-only communities (11 sites)</t>
  </si>
  <si>
    <t>Independent living</t>
  </si>
  <si>
    <t>Meridian Lakewood, Meridian Englewood, Tamarac Square, University Park, N. Boulder, N. Loveland, Longmont, Greeley, Briargate, Broadmoor, Monument Valley Park - unlicensed IL, no bed counts</t>
  </si>
  <si>
    <t>Independent  —  6 facilities (6 in metro), 1,113 licensed beds</t>
  </si>
  <si>
    <t>Adara Living</t>
  </si>
  <si>
    <t>One of the largest independent SNFs in the metro</t>
  </si>
  <si>
    <t>Harvard Square Senior Living</t>
  </si>
  <si>
    <t>The Lodge at Red Rocks</t>
  </si>
  <si>
    <t>Morrison</t>
  </si>
  <si>
    <t>The Belleview Senior Living</t>
  </si>
  <si>
    <t>The Courtyards at Mountain View</t>
  </si>
  <si>
    <t>Northglenn Heights Assisted Living</t>
  </si>
  <si>
    <t>Bello / Maze / Swain / Myers family group (Accel)  —  9 facilities (1 in metro), 709 licensed beds</t>
  </si>
  <si>
    <t>Creekside Village</t>
  </si>
  <si>
    <t>Falcon Heights</t>
  </si>
  <si>
    <t>Fountain View</t>
  </si>
  <si>
    <t>Poudre Canyon</t>
  </si>
  <si>
    <t>Kiowa Hills</t>
  </si>
  <si>
    <t>Colonial</t>
  </si>
  <si>
    <t>South Platte</t>
  </si>
  <si>
    <t>Brush</t>
  </si>
  <si>
    <t>Accel at Longmont</t>
  </si>
  <si>
    <t>Sunrise Senior Living  —  6 facilities (6 in metro), 675 licensed beds</t>
  </si>
  <si>
    <t>Sunrise at Cherry Creek</t>
  </si>
  <si>
    <t>Sunrise at Flatirons</t>
  </si>
  <si>
    <t>Sunrise Assisted Living of Boulder</t>
  </si>
  <si>
    <t>Sunrise of Westminster</t>
  </si>
  <si>
    <t>Sunrise at Pinehurst</t>
  </si>
  <si>
    <t>Sunrise at Orchard</t>
  </si>
  <si>
    <t>Bethesda Senior Living Communities  —  6 facilities (1 in metro), 646 licensed beds</t>
  </si>
  <si>
    <t>Bethesda Gardens Thornton</t>
  </si>
  <si>
    <t>Only Denver metro building</t>
  </si>
  <si>
    <t>The Gardens at ViewPointe</t>
  </si>
  <si>
    <t>Bethesda Gardens Loveland</t>
  </si>
  <si>
    <t>The Gardens at Collinwood</t>
  </si>
  <si>
    <t>The Gardens at Broadmoor Court</t>
  </si>
  <si>
    <t>Bethesda Gardens Monument</t>
  </si>
  <si>
    <t>Monument</t>
  </si>
  <si>
    <t>Veritas Management Group  —  8 facilities (3 in metro), 636 licensed beds</t>
  </si>
  <si>
    <t>The Center at Lincoln</t>
  </si>
  <si>
    <t>The Center at Northridge</t>
  </si>
  <si>
    <t>The Center at Lowry</t>
  </si>
  <si>
    <t>The Center at Centennial</t>
  </si>
  <si>
    <t>The Center at Cordera</t>
  </si>
  <si>
    <t>The Center at Park West</t>
  </si>
  <si>
    <t>The Center at Foresight</t>
  </si>
  <si>
    <t>The Center at Centerplace</t>
  </si>
  <si>
    <t>Centennial Healthcare  —  8 facilities (0 in metro), 610 licensed beds</t>
  </si>
  <si>
    <t>Trinidad</t>
  </si>
  <si>
    <t>The Valley Rehab</t>
  </si>
  <si>
    <t>Mancos</t>
  </si>
  <si>
    <t>Vista Grande</t>
  </si>
  <si>
    <t>Cortez</t>
  </si>
  <si>
    <t>Rock Creek</t>
  </si>
  <si>
    <t>Monte Vista</t>
  </si>
  <si>
    <t>Rio Grande</t>
  </si>
  <si>
    <t>La Jara</t>
  </si>
  <si>
    <t>Pine Ridge</t>
  </si>
  <si>
    <t>Pagosa Springs</t>
  </si>
  <si>
    <t>River Valley</t>
  </si>
  <si>
    <t>Del Norte</t>
  </si>
  <si>
    <t>Cottonwood</t>
  </si>
  <si>
    <t>Madison Creek Partners  —  8 facilities (2 in metro), 596 licensed beds</t>
  </si>
  <si>
    <t>Pueblo Heights</t>
  </si>
  <si>
    <t>Pioneer Health Care</t>
  </si>
  <si>
    <t>Rocky Ford</t>
  </si>
  <si>
    <t>Silver Heights</t>
  </si>
  <si>
    <t>Sundance</t>
  </si>
  <si>
    <t>Paonia</t>
  </si>
  <si>
    <t>Lakewood Villa</t>
  </si>
  <si>
    <t>Glenwood Springs Healthcare</t>
  </si>
  <si>
    <t>Glenwood Springs</t>
  </si>
  <si>
    <t>The Gardens</t>
  </si>
  <si>
    <t>State of Colorado (Veterans Community Living Centers)  —  5 facilities (1 in metro), 554 licensed beds</t>
  </si>
  <si>
    <t>Veterans Community Living Center at Fitzsimons</t>
  </si>
  <si>
    <t>Only metro VCLC</t>
  </si>
  <si>
    <t>Spanish Peaks Veterans Community Living Center</t>
  </si>
  <si>
    <t>Walsenburg</t>
  </si>
  <si>
    <t>Bruce McCandless Veterans Community Living Center</t>
  </si>
  <si>
    <t>Florence</t>
  </si>
  <si>
    <t>Rifle Veterans Community Living Center</t>
  </si>
  <si>
    <t>Rifle</t>
  </si>
  <si>
    <t>Homelake Veterans Community Living Center</t>
  </si>
  <si>
    <t>Columbine Health Systems  —  5 facilities (0 in metro), 500 licensed beds</t>
  </si>
  <si>
    <t>Lemay Avenue Health &amp; Rehab</t>
  </si>
  <si>
    <t>North Shore Health &amp; Rehab</t>
  </si>
  <si>
    <t>Columbine West Health &amp; Rehab</t>
  </si>
  <si>
    <t>Centre Avenue Health &amp; Rehab</t>
  </si>
  <si>
    <t>Columbine Commons</t>
  </si>
  <si>
    <t>Plus affiliated AL/IL</t>
  </si>
  <si>
    <t>Ciel Senior Living  —  5 facilities (5 in metro), 482 licensed beds</t>
  </si>
  <si>
    <t>Ciel of Lowry</t>
  </si>
  <si>
    <t>Ciel of Lakewood (Ridge Pinehurst LLC)</t>
  </si>
  <si>
    <t>Approximate - licensed under legal entity name</t>
  </si>
  <si>
    <t>Ciel of Arvada (Stonebridge Senior LLC)</t>
  </si>
  <si>
    <t>Ciel at Applewood</t>
  </si>
  <si>
    <t>Bed count not confirmed</t>
  </si>
  <si>
    <t>Ciel of Boulder</t>
  </si>
  <si>
    <t>Christian Living Communities / Cappella  —  7 facilities (4 in metro), 439 licensed beds</t>
  </si>
  <si>
    <t>Someren Glen</t>
  </si>
  <si>
    <t>109 SNF + 55 AL + independent living</t>
  </si>
  <si>
    <t>The Retreat at Sunny Vista</t>
  </si>
  <si>
    <t>AL / memory care / SNF</t>
  </si>
  <si>
    <t>Dayspring Villa</t>
  </si>
  <si>
    <t>Clermont Park</t>
  </si>
  <si>
    <t>63 SNF + AL + IL; approx. 300+ total units across campus</t>
  </si>
  <si>
    <t>Holly Creek Community</t>
  </si>
  <si>
    <t>25 SNF + AL + large IL campus</t>
  </si>
  <si>
    <t>Cappella of Grand Junction</t>
  </si>
  <si>
    <t>Cappella of Pueblo West</t>
  </si>
  <si>
    <t>Pueblo West</t>
  </si>
  <si>
    <t>Balfour Senior Living (Kisco Senior Living)  —  6 facilities (6 in metro), 433 licensed beds</t>
  </si>
  <si>
    <t>Balfour at Riverfront Park</t>
  </si>
  <si>
    <t>Balfour at Littleton</t>
  </si>
  <si>
    <t>Balfour Retirement Community</t>
  </si>
  <si>
    <t>88 AL + IL + SNF</t>
  </si>
  <si>
    <t>Balfour at Central Park</t>
  </si>
  <si>
    <t>Balfour at Lavender Farms</t>
  </si>
  <si>
    <t>Balfour Cherrywood Village</t>
  </si>
  <si>
    <t>Ivy Living  —  4 facilities (2 in metro), 404 licensed beds</t>
  </si>
  <si>
    <t>The Ivy Colorado Springs</t>
  </si>
  <si>
    <t>The Ivy Pueblo</t>
  </si>
  <si>
    <t>The Ivy Thornton</t>
  </si>
  <si>
    <t>The Ivy Cherry Hills</t>
  </si>
  <si>
    <t>Frontline Management  —  5 facilities (1 in metro), 389 licensed beds</t>
  </si>
  <si>
    <t>Fairacres Manor</t>
  </si>
  <si>
    <t>Vista Ridge</t>
  </si>
  <si>
    <t>The Peaks Care Center</t>
  </si>
  <si>
    <t>Progressive Care</t>
  </si>
  <si>
    <t>Grace Manor</t>
  </si>
  <si>
    <t>Burlington</t>
  </si>
  <si>
    <t>Sweetwater Care  —  4 facilities (3 in metro), 338 licensed beds</t>
  </si>
  <si>
    <t>Highland Park Rehabilitation &amp; Care</t>
  </si>
  <si>
    <t>Lowry Hills Care &amp; Rehabilitation</t>
  </si>
  <si>
    <t>City Scape Rehabilitation &amp; Care</t>
  </si>
  <si>
    <t>Storybrook Care &amp; Rehabilitation</t>
  </si>
  <si>
    <t>American Baptist Homes of the Midwest  —  2 facilities (2 in metro), 323 licensed beds</t>
  </si>
  <si>
    <t>Mountain Vista Health Center</t>
  </si>
  <si>
    <t>SNF + AL/memory care</t>
  </si>
  <si>
    <t>168 SNF + 69 AL/MC</t>
  </si>
  <si>
    <t>Health Center at Franklin Park</t>
  </si>
  <si>
    <t>Erickson Senior Living  —  1 facilities (1 in metro), 316 licensed beds</t>
  </si>
  <si>
    <t>Wind Crest (Continuing Care)</t>
  </si>
  <si>
    <t>272 AL + 44 SNF, PLUS ~1,300-1,500 independent living apartments. One of the largest senior campuses in CO</t>
  </si>
  <si>
    <t>Eaton Senior Communities  —  1 facilities (1 in metro), 300 licensed beds</t>
  </si>
  <si>
    <t>~300 affordable IL units across Eaton Terrace, The Residences, The Summit. No licensed SNF</t>
  </si>
  <si>
    <t>Good Samaritan Society (Sanford Health)  —  5 facilities (0 in metro), 228 licensed beds</t>
  </si>
  <si>
    <t>Good Samaritan Loveland Village</t>
  </si>
  <si>
    <t>104 SNF + 60 AL</t>
  </si>
  <si>
    <t>Good Samaritan Fort Collins Village</t>
  </si>
  <si>
    <t>Good Samaritan Estes Park Village</t>
  </si>
  <si>
    <t>Estes Park</t>
  </si>
  <si>
    <t>Good Samaritan Fox Run</t>
  </si>
  <si>
    <t>Senior living</t>
  </si>
  <si>
    <t>Water Valley Senior Living Resort</t>
  </si>
  <si>
    <t>CommonSpirit Health  —  2 facilities (1 in metro), 215 licensed beds</t>
  </si>
  <si>
    <t>Mount St. Francis Nursing Center</t>
  </si>
  <si>
    <t>Gardens at St. Elizabeth</t>
  </si>
  <si>
    <t>Independent (MGL Partners dev.)  —  1 facilities (1 in metro), 207 licensed beds</t>
  </si>
  <si>
    <t>Carillon at Belleview Station</t>
  </si>
  <si>
    <t>Legend Senior Living  —  2 facilities (1 in metro), 206 licensed beds</t>
  </si>
  <si>
    <t>Legend of Broomfield</t>
  </si>
  <si>
    <t>Legend of Colorado Springs</t>
  </si>
  <si>
    <t>Cogir Senior Living  —  1 facilities (1 in metro), 165 licensed beds</t>
  </si>
  <si>
    <t>Cogir of Broomfield</t>
  </si>
  <si>
    <t>Opened 2025</t>
  </si>
  <si>
    <t>Amira Senior Living  —  1 facilities (1 in metro), 160 licensed beds</t>
  </si>
  <si>
    <t>Amira Choice Arvada</t>
  </si>
  <si>
    <t>Gardens Care Senior Living  —  3 facilities (3 in metro), 160 licensed beds</t>
  </si>
  <si>
    <t>Gardens on Quail</t>
  </si>
  <si>
    <t>Saddle Rock</t>
  </si>
  <si>
    <t>Columbine Acres</t>
  </si>
  <si>
    <t>Volunteers of America National Services  —  3 facilities (0 in metro), 146 licensed beds</t>
  </si>
  <si>
    <t>Valley Manor Care Center</t>
  </si>
  <si>
    <t>Horizons Care Center</t>
  </si>
  <si>
    <t>Eckert</t>
  </si>
  <si>
    <t>The Homestead at Montrose</t>
  </si>
  <si>
    <t>VOA Colorado's metro footprint is unlicensed affordable senior housing</t>
  </si>
  <si>
    <t>Juniper Communities  —  3 facilities (3 in metro), 135 licensed beds</t>
  </si>
  <si>
    <t>Juniper Village at The Spearly Center</t>
  </si>
  <si>
    <t>Juniper Village at Aurora</t>
  </si>
  <si>
    <t>Juniper Village at Louisville</t>
  </si>
  <si>
    <t>Memory care + adult day</t>
  </si>
  <si>
    <t>Clear Choice Healthcare  —  1 facilities (1 in metro), 133 licensed beds</t>
  </si>
  <si>
    <t>Orchard Park Health Care Center</t>
  </si>
  <si>
    <t>Advanced Health Care  —  3 facilities (2 in metro), 124 licensed beds</t>
  </si>
  <si>
    <t>Advanced Health Care of Aurora</t>
  </si>
  <si>
    <t>Skilled nursing - short-stay rehab</t>
  </si>
  <si>
    <t>Advanced Health Care of Lakewood</t>
  </si>
  <si>
    <t>Advanced Health Care of Colorado Springs</t>
  </si>
  <si>
    <t>Covenant Living Communities  —  1 facilities (1 in metro), 120 licensed beds</t>
  </si>
  <si>
    <t>Covenant Living of Colorado</t>
  </si>
  <si>
    <t>60 SNF + 60 AL + independent living</t>
  </si>
  <si>
    <t>Solera Senior Living (Denver HQ)  —  1 facilities (1 in metro), 105 licensed beds</t>
  </si>
  <si>
    <t>Modena Cherry Creek</t>
  </si>
  <si>
    <t>Solera is HQ'd in Denver but has only this one CO community</t>
  </si>
  <si>
    <t>Atria Senior Living  —  1 facilities (1 in metro), 100 licensed beds</t>
  </si>
  <si>
    <t>Atria Longmont</t>
  </si>
  <si>
    <t>Small Colorado footprint</t>
  </si>
  <si>
    <t>Cassia  —  1 facilities (0 in metro), 44 licensed beds</t>
  </si>
  <si>
    <t>Castle Peak Senior Life &amp; Rehabilitation</t>
  </si>
  <si>
    <t>Eagle</t>
  </si>
  <si>
    <t>Senior Lifestyle  —  1 facilities (0 in metro), 42 licensed beds</t>
  </si>
  <si>
    <t>Liberty Heights</t>
  </si>
  <si>
    <t>Vi Living  —  1 facilities (1 in metro), 24 licensed beds</t>
  </si>
  <si>
    <t>Vi at Highlands Ranch</t>
  </si>
  <si>
    <t>24 SNF + AL/memory care + ~300 independent living residences</t>
  </si>
  <si>
    <t>WellAge Senior Living  —  4 facilities (1 in metro), 0 licensed beds</t>
  </si>
  <si>
    <t>Arbor View Senior Living</t>
  </si>
  <si>
    <t>Management company affiliated with Vivage leadership</t>
  </si>
  <si>
    <t>Sopris Lodge at Carbondale</t>
  </si>
  <si>
    <t>Devonshire Acres</t>
  </si>
  <si>
    <t>Carriage House</t>
  </si>
  <si>
    <t>Independent nonprofit  —  1 facilities (1 in metro), 0 licensed beds</t>
  </si>
  <si>
    <t>Frasier Retirement Community</t>
  </si>
  <si>
    <t>Large Boulder CCRC campus; bed count not confirmed</t>
  </si>
  <si>
    <t>TOTAL — all facilities listed</t>
  </si>
  <si>
    <t>Confirmed ABSENT from Colorado in the July 2026 CMS file: Genesis Healthcare (bankrupt 2025), PruittHealth, SavaSeniorCare (ceased ops ~2023), Consulate Health Care. Don't waste calls on them.</t>
  </si>
  <si>
    <t>Good Samaritan Society (Sanford Health) operates in northern Colorado only — no Denver metro buildings.</t>
  </si>
  <si>
    <t>Other Healthcare Facilities — Denver Metro</t>
  </si>
  <si>
    <t>Everything that is not a general acute-care hospital or a nursing home. Categories ordered by likely cleaning-supply value; entries within each ordered largest to smallest.</t>
  </si>
  <si>
    <t>Facility / Organization</t>
  </si>
  <si>
    <t>Size</t>
  </si>
  <si>
    <t>Unit</t>
  </si>
  <si>
    <t>Category</t>
  </si>
  <si>
    <t>BEHAVIORAL HEALTH / PSYCHIATRIC HOSPITALS  —  8 entries</t>
  </si>
  <si>
    <t>Colorado Mental Health Hospital in Fort Logan</t>
  </si>
  <si>
    <t>State of Colorado (CDHS)</t>
  </si>
  <si>
    <t>licensed beds</t>
  </si>
  <si>
    <t>Behavioral health / psychiatric hospitals</t>
  </si>
  <si>
    <t>Sources vary 94-154; 154 is the CDPHE licensed figure</t>
  </si>
  <si>
    <t>West Pines Behavioral Hospital</t>
  </si>
  <si>
    <t>Intermountain Health + Acadia Healthcare JV</t>
  </si>
  <si>
    <t>Opened 2024 - new build</t>
  </si>
  <si>
    <t>HCA HealthONE Mental Health &amp; Wellness Center</t>
  </si>
  <si>
    <t>HCA Healthcare</t>
  </si>
  <si>
    <t>Part of HCA HealthONE Aurora</t>
  </si>
  <si>
    <t>Centennial Peaks Hospital</t>
  </si>
  <si>
    <t>Universal Health Services (UHS)</t>
  </si>
  <si>
    <t>Denver Springs</t>
  </si>
  <si>
    <t>Lifepoint Behavioral Health</t>
  </si>
  <si>
    <t>Formerly Springstone</t>
  </si>
  <si>
    <t>Highlands Behavioral Health System</t>
  </si>
  <si>
    <t>Eating Recovery Center - Lowry</t>
  </si>
  <si>
    <t>Eating Recovery Center / Pathlight (PE-backed)</t>
  </si>
  <si>
    <t>Eating Recovery Center - A Behavioral Hospital</t>
  </si>
  <si>
    <t>INPATIENT REHABILITATION HOSPITALS  —  8 entries</t>
  </si>
  <si>
    <t>Inpatient rehabilitation hospitals</t>
  </si>
  <si>
    <t>National-destination spinal cord injury / TBI rehab. Also appears on the Hospitals tab</t>
  </si>
  <si>
    <t>Colorado's first licensed acute rehab hospital</t>
  </si>
  <si>
    <t>Encompass Health Rehabilitation Hospital of Littleton</t>
  </si>
  <si>
    <t>Encompass Health (NYSE: EHC)</t>
  </si>
  <si>
    <t>Only Encompass IRF in the metro</t>
  </si>
  <si>
    <t>PAM Health Rehabilitation Hospital of Golden</t>
  </si>
  <si>
    <t>Golden</t>
  </si>
  <si>
    <t>PAM Health</t>
  </si>
  <si>
    <t>Reunion Rehabilitation Hospital Denver</t>
  </si>
  <si>
    <t>Nobis Rehabilitation Partners</t>
  </si>
  <si>
    <t>Central Park</t>
  </si>
  <si>
    <t>Reunion Rehabilitation Hospital Inverness</t>
  </si>
  <si>
    <t>~49,000 SF</t>
  </si>
  <si>
    <t>PAM Health Rehabilitation Hospital of Westminster</t>
  </si>
  <si>
    <t>Denver Regional Rehabilitation Hospital</t>
  </si>
  <si>
    <t>Vibra Healthcare</t>
  </si>
  <si>
    <t>Co-located on the Vibra Hospital of Denver campus</t>
  </si>
  <si>
    <t>LONG-TERM ACUTE CARE HOSPITALS (LTACH)  —  5 entries</t>
  </si>
  <si>
    <t>Kindred Hospital - Denver</t>
  </si>
  <si>
    <t>ScionHealth / Kindred LTAC</t>
  </si>
  <si>
    <t>Long-term acute care hospitals (LTACH)</t>
  </si>
  <si>
    <t>Ownership in flux - verify current parent</t>
  </si>
  <si>
    <t>PAM Health Specialty Hospital of Denver</t>
  </si>
  <si>
    <t>Vibra Hospital of Denver</t>
  </si>
  <si>
    <t>Kindred Hospital Aurora</t>
  </si>
  <si>
    <t>Kindred Hospital - Denver South</t>
  </si>
  <si>
    <t>AMBULATORY SURGERY CENTERS (ASCS)  —  6 entries</t>
  </si>
  <si>
    <t>Denver metro ASCs - ALL OPERATORS</t>
  </si>
  <si>
    <t>Metro-wide</t>
  </si>
  <si>
    <t>Various</t>
  </si>
  <si>
    <t>centers (approx.)</t>
  </si>
  <si>
    <t>Ambulatory surgery centers (ASCs)</t>
  </si>
  <si>
    <t>135 Medicare-certified ASCs statewide; ~85-95 in the metro. By county: Arapahoe ~20, Douglas ~17, Denver ~15, Jefferson ~15, Boulder ~14, Adams ~6</t>
  </si>
  <si>
    <t>HCA HealthONE Ambulatory Surgical Centers</t>
  </si>
  <si>
    <t>Largest single metro ASC network. HQ 4900 S Monaco St. Includes Rose Surgical, Sky Ridge Surgical, North Suburban Surgery</t>
  </si>
  <si>
    <t>UCHealth surgery centers</t>
  </si>
  <si>
    <t>centers</t>
  </si>
  <si>
    <t>Cherry Creek North, Inverness Orthopedics &amp; Spine, Longs Peak</t>
  </si>
  <si>
    <t>Endoscopy Center of the Rockies</t>
  </si>
  <si>
    <t>Boulder County</t>
  </si>
  <si>
    <t>Independent GI group</t>
  </si>
  <si>
    <t>Boulder, Longmont, Lafayette</t>
  </si>
  <si>
    <t>Kaiser Permanente ASCs</t>
  </si>
  <si>
    <t>Denver / Lone Tree</t>
  </si>
  <si>
    <t>Kaiser Permanente</t>
  </si>
  <si>
    <t>Franklin St (Denver) and Lone Tree</t>
  </si>
  <si>
    <t>SCA Health / USPI / AmSurg / Surgery Partners holdings</t>
  </si>
  <si>
    <t>Optum, Tenet, Envision, Surgery Partners</t>
  </si>
  <si>
    <t>not disclosed</t>
  </si>
  <si>
    <t>National chains hold Colorado stakes but operate under local physician-JV LLC names - not brandable from public sources</t>
  </si>
  <si>
    <t>DIALYSIS CENTERS  —  5 entries</t>
  </si>
  <si>
    <t>DaVita Inc.</t>
  </si>
  <si>
    <t>Denver (HQ)</t>
  </si>
  <si>
    <t>DaVita Inc. (NYSE: DVA)</t>
  </si>
  <si>
    <t>clinics (approx.)</t>
  </si>
  <si>
    <t>Dialysis centers</t>
  </si>
  <si>
    <t>HEADQUARTERED IN DENVER (2000 16th St). ~2,600+ US clinics. Metro clinics use place-name branding</t>
  </si>
  <si>
    <t>Fresenius Kidney Care</t>
  </si>
  <si>
    <t>Fresenius Medical Care</t>
  </si>
  <si>
    <t>Pavilion, Stapleton, Sloans Lake, Lowry, S. Denver, NE Denver, E. Denver, W. Belleview, W. Hampden, Castle Rock</t>
  </si>
  <si>
    <t>Independent 'Kidney Center of...' clinics</t>
  </si>
  <si>
    <t>Physician-owned / DaVita JV</t>
  </si>
  <si>
    <t>Northridge, Westminster, Longmont, Lafayette, Parker</t>
  </si>
  <si>
    <t>Hospital-based / academic dialysis</t>
  </si>
  <si>
    <t>UCHealth / Children's Colorado</t>
  </si>
  <si>
    <t>units</t>
  </si>
  <si>
    <t>UCH Dialysis Services; Children's Colorado Kidney Center</t>
  </si>
  <si>
    <t>US Renal Care</t>
  </si>
  <si>
    <t>Aurora / Lone Tree</t>
  </si>
  <si>
    <t>clinics</t>
  </si>
  <si>
    <t>Altitude Dialysis (Aurora), Lone Tree</t>
  </si>
  <si>
    <t>MULTI-SITE CLINIC NETWORKS  —  9 entries</t>
  </si>
  <si>
    <t>Kaiser Permanente Colorado</t>
  </si>
  <si>
    <t>Kaiser Foundation Health Plan + Colorado Permanente Medical Group</t>
  </si>
  <si>
    <t>medical offices</t>
  </si>
  <si>
    <t>Multi-site clinic networks</t>
  </si>
  <si>
    <t>502,410 members; 6,522 physicians and employees. State's largest nonprofit provider. OWNS NO HOSPITALS</t>
  </si>
  <si>
    <t>Denver Health community &amp; school-based health centers</t>
  </si>
  <si>
    <t>sites</t>
  </si>
  <si>
    <t>9 community health centers + 18-20 school-based centers + Webb Center. 271,089 patients / 1.4M visits (2025)</t>
  </si>
  <si>
    <t>New West Physicians</t>
  </si>
  <si>
    <t>Optum (UnitedHealth Group)</t>
  </si>
  <si>
    <t>Largest independent primary-care group pre-acquisition; now core of Optum Colorado</t>
  </si>
  <si>
    <t>STRIDE Community Health Center</t>
  </si>
  <si>
    <t>FQHC</t>
  </si>
  <si>
    <t>Denver, Aurora, Englewood, Wheat Ridge, Lakewood</t>
  </si>
  <si>
    <t>Clinica Family Health &amp; Wellness</t>
  </si>
  <si>
    <t>Adams, Boulder, Broomfield, Gilpin counties</t>
  </si>
  <si>
    <t>Salud Family Health Centers</t>
  </si>
  <si>
    <t>Fort Lupton</t>
  </si>
  <si>
    <t>metro clinics</t>
  </si>
  <si>
    <t>13 statewide. Brighton, Commerce City, Longmont, Aurora</t>
  </si>
  <si>
    <t>Colorado Coalition for the Homeless</t>
  </si>
  <si>
    <t>Stout Street Health Center</t>
  </si>
  <si>
    <t>Peak Vista Community Health Centers</t>
  </si>
  <si>
    <t>metro clinics (approx.)</t>
  </si>
  <si>
    <t>Colorado Springs-based; also serves Adams, Arapahoe, Douglas, Elbert</t>
  </si>
  <si>
    <t>Tepeyac Community Health Center</t>
  </si>
  <si>
    <t>Globeville / Elyria-Swansea</t>
  </si>
  <si>
    <t>FREESTANDING EMERGENCY DEPARTMENTS  —  5 entries</t>
  </si>
  <si>
    <t>AdventHealth freestanding ERs</t>
  </si>
  <si>
    <t>AdventHealth</t>
  </si>
  <si>
    <t>locations</t>
  </si>
  <si>
    <t>Freestanding emergency departments</t>
  </si>
  <si>
    <t>Southlands (Aurora), Meridian (Parker), Southmoor (Denver), West Littleton, Highlands Ranch, Aurora Highlands</t>
  </si>
  <si>
    <t>Intermountain Health emergency &amp; urgent care</t>
  </si>
  <si>
    <t>Northglenn, Golden, Lakewood, Arvada, 84th Ave (Westminster)</t>
  </si>
  <si>
    <t>UCHealth freestanding ERs</t>
  </si>
  <si>
    <t>Commerce City, Thornton, Arvada, Aurora Central, Green Valley Ranch</t>
  </si>
  <si>
    <t>HCA HealthONE freestanding ERs</t>
  </si>
  <si>
    <t>Northeast (Thornton), Belmar (Lakewood), Southwest (Littleton), South Parker, Central Park (Denver)</t>
  </si>
  <si>
    <t>Boulder Community Health - Community Medical Center ED</t>
  </si>
  <si>
    <t>Boulder Community Health</t>
  </si>
  <si>
    <t>location</t>
  </si>
  <si>
    <t>URGENT CARE CHAINS  —  6 entries</t>
  </si>
  <si>
    <t>Concentra</t>
  </si>
  <si>
    <t>Select Medical Corporation</t>
  </si>
  <si>
    <t>Urgent care chains</t>
  </si>
  <si>
    <t>Largest single urgent-care footprint in the metro; primarily occupational medicine / workers' comp</t>
  </si>
  <si>
    <t>AFC Urgent Care</t>
  </si>
  <si>
    <t>AFC Franchising (franchisee-owned)</t>
  </si>
  <si>
    <t>locations (approx.)</t>
  </si>
  <si>
    <t>28 statewide</t>
  </si>
  <si>
    <t>UCHealth Urgent Care</t>
  </si>
  <si>
    <t>Count not published; many co-located with FSEDs</t>
  </si>
  <si>
    <t>Independent / Peak Urgent Care / CityDoc</t>
  </si>
  <si>
    <t>Highly fragmented; counts unverified</t>
  </si>
  <si>
    <t>NextCare Urgent Care</t>
  </si>
  <si>
    <t>NextCare Holdings (PE-backed)</t>
  </si>
  <si>
    <t>Kaiser Permanente urgent care</t>
  </si>
  <si>
    <t>Inside medical office buildings</t>
  </si>
  <si>
    <t>OCCUPATIONAL HEALTH  —  5 entries</t>
  </si>
  <si>
    <t>Occupational health</t>
  </si>
  <si>
    <t>Dominant occ-med network: Aurora x3, Boulder, Broomfield, Centennial, Central Park, Cherry Creek, S. Broadway, Downtown, Highlands Ranch, Lakewood, Littleton, Longmont, N. Denver, Parker, Thornton x2</t>
  </si>
  <si>
    <t>Rocky Mountain Regional VA + community-based outpatient clinics</t>
  </si>
  <si>
    <t>1 hospital + ~6 metro CBOCs (Golden, Aurora, Denver, Jewell, Boulder area)</t>
  </si>
  <si>
    <t>UCHealth Occupational Medicine / WorkMed</t>
  </si>
  <si>
    <t>HealthONE Occupational Health / WorkWell</t>
  </si>
  <si>
    <t>Employer on-site clinics</t>
  </si>
  <si>
    <t>Various employers</t>
  </si>
  <si>
    <t>not licensed</t>
  </si>
  <si>
    <t>Lockheed Martin (Waterton Canyon), Ball Aerospace, Denver International Airport, Amazon fulfillment centers, large school districts</t>
  </si>
  <si>
    <t>CANCER CENTERS  —  5 entries</t>
  </si>
  <si>
    <t>Rocky Mountain Cancer Centers</t>
  </si>
  <si>
    <t>The US Oncology Network / McKesson</t>
  </si>
  <si>
    <t>metro locations</t>
  </si>
  <si>
    <t>Cancer centers</t>
  </si>
  <si>
    <t>17-20 statewide. Largest community oncology group in Colorado</t>
  </si>
  <si>
    <t>UCHealth Cancer Care / CU Cancer Center</t>
  </si>
  <si>
    <t>UCHealth + University of Colorado</t>
  </si>
  <si>
    <t>NCI-designated Comprehensive Cancer Center at Anschutz</t>
  </si>
  <si>
    <t>Sarah Cannon Cancer Institute at HealthONE</t>
  </si>
  <si>
    <t>AdventHealth cancer centers</t>
  </si>
  <si>
    <t>Intermountain cancer centers (Saint Joseph, Lutheran)</t>
  </si>
  <si>
    <t>IMAGING CENTER CHAINS  —  4 entries</t>
  </si>
  <si>
    <t>Hospital-owned outpatient imaging</t>
  </si>
  <si>
    <t>UCHealth / HCA / AdventHealth / Intermountain</t>
  </si>
  <si>
    <t>Imaging center chains</t>
  </si>
  <si>
    <t>Invision Sally Jobe</t>
  </si>
  <si>
    <t>Radiology Imaging Associates / Envision (unconfirmed)</t>
  </si>
  <si>
    <t>Historic large Denver outpatient imaging network; current corporate parent unverified</t>
  </si>
  <si>
    <t>Touchstone Medical Imaging</t>
  </si>
  <si>
    <t>Touchstone Imaging (PE-owned)</t>
  </si>
  <si>
    <t>Aurora, Castle Rock, Dry Creek/DTC, Lafayette, Lakewood, Thornton, Uptown Denver, Wheat Ridge</t>
  </si>
  <si>
    <t>Health Images</t>
  </si>
  <si>
    <t>Health Images (Colorado Springs HQ)</t>
  </si>
  <si>
    <t>Arvada, Westminster, Greenwood Village, Lakewood. 6 in Colorado</t>
  </si>
  <si>
    <t>COMMUNITY MENTAL HEALTH CENTERS (MULTI-SITE)  —  5 entries</t>
  </si>
  <si>
    <t>WellPower (formerly Mental Health Center of Denver)</t>
  </si>
  <si>
    <t>Independent nonprofit (BHA-designated)</t>
  </si>
  <si>
    <t>sites (approx.)</t>
  </si>
  <si>
    <t>Community mental health centers (multi-site)</t>
  </si>
  <si>
    <t>Largest community mental health center in the state; includes school-based and supportive housing sites</t>
  </si>
  <si>
    <t>Jefferson Center for Mental Health</t>
  </si>
  <si>
    <t>Jefferson, Clear Creek, Gilpin counties</t>
  </si>
  <si>
    <t>Mental Health Partners</t>
  </si>
  <si>
    <t>Boulder &amp; Broomfield counties</t>
  </si>
  <si>
    <t>AllHealth Network</t>
  </si>
  <si>
    <t>Arapahoe &amp; Douglas counties</t>
  </si>
  <si>
    <t>Community Reach Center</t>
  </si>
  <si>
    <t>Adams County</t>
  </si>
  <si>
    <t>HOSPICE  —  8 entries</t>
  </si>
  <si>
    <t>Denver metro hospice agencies - ALL</t>
  </si>
  <si>
    <t>agencies (approx.)</t>
  </si>
  <si>
    <t>Hospice</t>
  </si>
  <si>
    <t>Extremely fragmented. 24 in Arapahoe County alone, concentrated in Greenwood Village/Centennial</t>
  </si>
  <si>
    <t>The Denver Hospice</t>
  </si>
  <si>
    <t>Care Synergy (nonprofit network)</t>
  </si>
  <si>
    <t>inpatient beds</t>
  </si>
  <si>
    <t>Since 1978. Largest inpatient hospice in the metro (8289 E Lowry Blvd). Care Synergy also owns Colorado VNA, Colorado PACE, Pathways, Pikes Peak Hospice</t>
  </si>
  <si>
    <t>HCA HealthONE Hospice &amp; Family Care</t>
  </si>
  <si>
    <t>agency</t>
  </si>
  <si>
    <t>Agape Healthcare</t>
  </si>
  <si>
    <t>Independent / PE</t>
  </si>
  <si>
    <t>Large metro provider</t>
  </si>
  <si>
    <t>TRU Community Care</t>
  </si>
  <si>
    <t>Bristol Hospice - Denver</t>
  </si>
  <si>
    <t>Bristol Hospice (PE-backed)</t>
  </si>
  <si>
    <t>Brighton Hospice Colorado</t>
  </si>
  <si>
    <t>Brighton Hospice (PE-backed)</t>
  </si>
  <si>
    <t>Gentiva</t>
  </si>
  <si>
    <t>Gentiva (formerly Kindred at Home)</t>
  </si>
  <si>
    <t>HOME HEALTH  —  3 entries</t>
  </si>
  <si>
    <t>Denver metro licensed home health &amp; home care agencies</t>
  </si>
  <si>
    <t>hundreds</t>
  </si>
  <si>
    <t>Home health</t>
  </si>
  <si>
    <t>CDPHE tracks Home Health Agency and Home Care Agency as separate license classes</t>
  </si>
  <si>
    <t>Colorado Visiting Nurse Association</t>
  </si>
  <si>
    <t>Care Synergy</t>
  </si>
  <si>
    <t>Established 1889</t>
  </si>
  <si>
    <t>UCHealth Home Care / Denver Health Home Care / BAYADA / Interim / Amedisys / Enhabit</t>
  </si>
  <si>
    <t>agencies</t>
  </si>
  <si>
    <t>Largest metro home health operators</t>
  </si>
  <si>
    <t>SPECIALTY &amp; RESEARCH  —  4 entries</t>
  </si>
  <si>
    <t>University of Colorado Anschutz Medical Campus</t>
  </si>
  <si>
    <t>University of Colorado</t>
  </si>
  <si>
    <t>acres</t>
  </si>
  <si>
    <t>Specialty &amp; research</t>
  </si>
  <si>
    <t>$700M+ annual research funding. CU Schools of Medicine, Dental, Pharmacy, Nursing, Public Health; NCI-designated CU Cancer Center; Gates Institute; Barbara Davis Center</t>
  </si>
  <si>
    <t>Fitzsimons Innovation Community</t>
  </si>
  <si>
    <t>Fitzsimons Redevelopment Authority</t>
  </si>
  <si>
    <t>Largest life-sciences real estate cluster in Colorado. Bioscience 1/2/3, Painted Prairie</t>
  </si>
  <si>
    <t>Children's Hospital Colorado network of care</t>
  </si>
  <si>
    <t>metro sites (approx.)</t>
  </si>
  <si>
    <t>Specialty and urgent care in Broomfield, Highlands Ranch, Parker, Wheat Ridge, Centennial, Central Park</t>
  </si>
  <si>
    <t>Vitalant (formerly Bonfils Blood Center)</t>
  </si>
  <si>
    <t>Vitalant</t>
  </si>
  <si>
    <t>Regional HQ 717 Yosemite St. Supplies most metro hospitals. Donation centers in Aurora, Lakewood, Westminster/Thornton, Highlands Ranch, Boulder/Longmont</t>
  </si>
  <si>
    <t>Size units differ by category (licensed beds vs. number of locations vs. acres) — read the Unit column before comparing rows across categories.</t>
  </si>
  <si>
    <t>Craig Hospital and HCA HealthONE Spalding also appear on the Hospitals tab — they are licensed hospitals as well as rehab facilities. Do not double-count.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</si>
</sst>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6"/>
      <color rgb="FF1F3864"/>
      <name val="Arial"/>
      <family val="2"/>
    </font>
    <font>
      <i/>
      <sz val="9"/>
      <color rgb="FF595959"/>
      <name val="Arial"/>
      <family val="2"/>
    </font>
    <font>
      <b/>
      <sz val="10"/>
      <name val="Arial"/>
      <family val="2"/>
    </font>
    <font>
      <sz val="10"/>
      <name val="Arial"/>
      <family val="2"/>
    </font>
    <font>
      <b/>
      <sz val="11"/>
      <color rgb="FF1F3864"/>
      <name val="Arial"/>
      <family val="2"/>
    </font>
    <font>
      <b/>
      <sz val="14"/>
      <color rgb="FF1F3864"/>
      <name val="Arial"/>
      <family val="2"/>
    </font>
    <font>
      <b/>
      <sz val="10"/>
      <color rgb="FFFFFFFF"/>
      <name val="Arial"/>
      <family val="2"/>
    </font>
  </fonts>
  <fills count="6">
    <fill>
      <patternFill patternType="none"/>
    </fill>
    <fill>
      <patternFill patternType="gray125"/>
    </fill>
    <fill>
      <patternFill patternType="solid">
        <fgColor rgb="FF1F3864"/>
        <bgColor rgb="FF333399"/>
      </patternFill>
    </fill>
    <fill>
      <patternFill patternType="solid">
        <fgColor rgb="FFF2F5FA"/>
        <bgColor rgb="FFFFFFFF"/>
      </patternFill>
    </fill>
    <fill>
      <patternFill patternType="solid">
        <fgColor rgb="FFFFF2CC"/>
        <bgColor rgb="FFF2F5FA"/>
      </patternFill>
    </fill>
    <fill>
      <patternFill patternType="solid">
        <fgColor rgb="FF4472A8"/>
        <bgColor rgb="FF3366FF"/>
      </patternFill>
    </fill>
  </fills>
  <borders count="3">
    <border>
      <left/>
      <right/>
      <top/>
      <bottom/>
      <diagonal/>
    </border>
    <border>
      <left/>
      <right/>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xf numFmtId="0" fontId="2" fillId="0" borderId="1" xfId="0" applyFont="1" applyBorder="1"/>
    <xf numFmtId="0" fontId="0" fillId="0" borderId="1" xfId="0" applyBorder="1"/>
    <xf numFmtId="0" fontId="7" fillId="2" borderId="2" xfId="0" applyFont="1" applyFill="1" applyBorder="1" applyAlignment="1">
      <alignment horizontal="center" vertical="center" wrapText="1"/>
    </xf>
    <xf numFmtId="0" fontId="4" fillId="0" borderId="2" xfId="0" applyFont="1" applyBorder="1" applyAlignment="1">
      <alignment horizontal="center"/>
    </xf>
    <xf numFmtId="0" fontId="4" fillId="0" borderId="2" xfId="0" applyFont="1" applyBorder="1" applyAlignment="1">
      <alignment horizontal="left" vertical="center"/>
    </xf>
    <xf numFmtId="3" fontId="4" fillId="0" borderId="2" xfId="0" applyNumberFormat="1" applyFont="1" applyBorder="1" applyAlignment="1">
      <alignment horizontal="right"/>
    </xf>
    <xf numFmtId="0" fontId="2" fillId="0" borderId="2" xfId="0" applyFont="1" applyBorder="1" applyAlignment="1">
      <alignment horizontal="left" vertical="center"/>
    </xf>
    <xf numFmtId="0" fontId="4" fillId="3" borderId="2" xfId="0" applyFont="1" applyFill="1" applyBorder="1" applyAlignment="1">
      <alignment horizontal="center"/>
    </xf>
    <xf numFmtId="0" fontId="4" fillId="3" borderId="2" xfId="0" applyFont="1" applyFill="1" applyBorder="1" applyAlignment="1">
      <alignment horizontal="left" vertical="center"/>
    </xf>
    <xf numFmtId="3" fontId="4" fillId="3" borderId="2" xfId="0" applyNumberFormat="1" applyFont="1" applyFill="1" applyBorder="1" applyAlignment="1">
      <alignment horizontal="right"/>
    </xf>
    <xf numFmtId="0" fontId="2" fillId="3" borderId="2" xfId="0" applyFont="1" applyFill="1" applyBorder="1" applyAlignment="1">
      <alignment horizontal="left" vertical="center"/>
    </xf>
    <xf numFmtId="0" fontId="0" fillId="4" borderId="2" xfId="0" applyFill="1" applyBorder="1"/>
    <xf numFmtId="0" fontId="3" fillId="4" borderId="2" xfId="0" applyFont="1" applyFill="1" applyBorder="1"/>
    <xf numFmtId="3" fontId="3" fillId="4" borderId="2" xfId="0" applyNumberFormat="1" applyFont="1" applyFill="1" applyBorder="1" applyAlignment="1">
      <alignment horizontal="right"/>
    </xf>
    <xf numFmtId="0" fontId="3" fillId="0" borderId="0" xfId="0" applyFont="1"/>
    <xf numFmtId="164" fontId="3" fillId="4" borderId="0" xfId="0" applyNumberFormat="1" applyFont="1" applyFill="1" applyAlignment="1">
      <alignment horizontal="right"/>
    </xf>
    <xf numFmtId="0" fontId="7" fillId="5" borderId="2" xfId="0" applyFont="1" applyFill="1" applyBorder="1"/>
    <xf numFmtId="0" fontId="0" fillId="5" borderId="2" xfId="0"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72A8"/>
      <rgbColor rgb="FF969696"/>
      <rgbColor rgb="FF1F3864"/>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showGridLines="0" zoomScaleNormal="100" workbookViewId="0"/>
  </sheetViews>
  <sheetFormatPr baseColWidth="10" defaultColWidth="8.6640625" defaultRowHeight="15" x14ac:dyDescent="0.2"/>
  <cols>
    <col min="1" max="1" width="30" customWidth="1"/>
    <col min="2" max="2" width="112" customWidth="1"/>
  </cols>
  <sheetData>
    <row r="1" spans="1:2" ht="20" x14ac:dyDescent="0.2">
      <c r="A1" s="1" t="s">
        <v>0</v>
      </c>
    </row>
    <row r="2" spans="1:2" x14ac:dyDescent="0.2">
      <c r="A2" s="2" t="s">
        <v>1</v>
      </c>
    </row>
    <row r="4" spans="1:2" x14ac:dyDescent="0.2">
      <c r="A4" s="3"/>
      <c r="B4" s="4"/>
    </row>
    <row r="5" spans="1:2" x14ac:dyDescent="0.2">
      <c r="A5" s="5" t="s">
        <v>2</v>
      </c>
      <c r="B5" s="4"/>
    </row>
    <row r="6" spans="1:2" ht="24" customHeight="1" x14ac:dyDescent="0.2">
      <c r="A6" s="3" t="s">
        <v>3</v>
      </c>
      <c r="B6" s="4" t="s">
        <v>4</v>
      </c>
    </row>
    <row r="7" spans="1:2" ht="24" customHeight="1" x14ac:dyDescent="0.2">
      <c r="A7" s="3" t="s">
        <v>5</v>
      </c>
      <c r="B7" s="4" t="s">
        <v>6</v>
      </c>
    </row>
    <row r="8" spans="1:2" ht="24" customHeight="1" x14ac:dyDescent="0.2">
      <c r="A8" s="3" t="s">
        <v>7</v>
      </c>
      <c r="B8" s="4" t="s">
        <v>8</v>
      </c>
    </row>
    <row r="9" spans="1:2" ht="24" customHeight="1" x14ac:dyDescent="0.2">
      <c r="A9" s="3" t="s">
        <v>9</v>
      </c>
      <c r="B9" s="4" t="s">
        <v>10</v>
      </c>
    </row>
    <row r="10" spans="1:2" ht="24" customHeight="1" x14ac:dyDescent="0.2">
      <c r="A10" s="3" t="s">
        <v>11</v>
      </c>
      <c r="B10" s="4" t="s">
        <v>12</v>
      </c>
    </row>
    <row r="11" spans="1:2" x14ac:dyDescent="0.2">
      <c r="A11" s="3"/>
      <c r="B11" s="4"/>
    </row>
    <row r="12" spans="1:2" ht="45" x14ac:dyDescent="0.2">
      <c r="A12" s="5" t="s">
        <v>13</v>
      </c>
      <c r="B12" s="4"/>
    </row>
    <row r="13" spans="1:2" ht="36" customHeight="1" x14ac:dyDescent="0.2">
      <c r="A13" s="3" t="s">
        <v>14</v>
      </c>
      <c r="B13" s="4" t="s">
        <v>15</v>
      </c>
    </row>
    <row r="14" spans="1:2" ht="24" customHeight="1" x14ac:dyDescent="0.2">
      <c r="A14" s="3" t="s">
        <v>16</v>
      </c>
      <c r="B14" s="4" t="s">
        <v>17</v>
      </c>
    </row>
    <row r="15" spans="1:2" ht="72" customHeight="1" x14ac:dyDescent="0.2">
      <c r="A15" s="3" t="s">
        <v>18</v>
      </c>
      <c r="B15" s="4" t="s">
        <v>19</v>
      </c>
    </row>
    <row r="16" spans="1:2" x14ac:dyDescent="0.2">
      <c r="A16" s="3"/>
      <c r="B16" s="4"/>
    </row>
    <row r="17" spans="1:2" x14ac:dyDescent="0.2">
      <c r="A17" s="5" t="s">
        <v>20</v>
      </c>
      <c r="B17" s="4"/>
    </row>
    <row r="18" spans="1:2" ht="36" customHeight="1" x14ac:dyDescent="0.2">
      <c r="A18" s="3" t="s">
        <v>21</v>
      </c>
      <c r="B18" s="4" t="s">
        <v>22</v>
      </c>
    </row>
    <row r="19" spans="1:2" ht="24" customHeight="1" x14ac:dyDescent="0.2">
      <c r="A19" s="3" t="s">
        <v>23</v>
      </c>
      <c r="B19" s="4" t="s">
        <v>24</v>
      </c>
    </row>
    <row r="20" spans="1:2" ht="24" customHeight="1" x14ac:dyDescent="0.2">
      <c r="A20" s="3" t="s">
        <v>25</v>
      </c>
      <c r="B20" s="4" t="s">
        <v>26</v>
      </c>
    </row>
    <row r="21" spans="1:2" ht="24" customHeight="1" x14ac:dyDescent="0.2">
      <c r="A21" s="3" t="s">
        <v>27</v>
      </c>
      <c r="B21" s="4" t="s">
        <v>28</v>
      </c>
    </row>
    <row r="22" spans="1:2" x14ac:dyDescent="0.2">
      <c r="A22" s="3"/>
      <c r="B22" s="4"/>
    </row>
    <row r="23" spans="1:2" x14ac:dyDescent="0.2">
      <c r="A23" s="5" t="s">
        <v>29</v>
      </c>
      <c r="B23" s="4"/>
    </row>
    <row r="24" spans="1:2" ht="48" customHeight="1" x14ac:dyDescent="0.2">
      <c r="A24" s="3" t="s">
        <v>5</v>
      </c>
      <c r="B24" s="4" t="s">
        <v>30</v>
      </c>
    </row>
    <row r="25" spans="1:2" ht="24" customHeight="1" x14ac:dyDescent="0.2">
      <c r="A25" s="3" t="s">
        <v>31</v>
      </c>
      <c r="B25" s="4" t="s">
        <v>32</v>
      </c>
    </row>
    <row r="26" spans="1:2" ht="36" customHeight="1" x14ac:dyDescent="0.2">
      <c r="A26" s="3" t="s">
        <v>33</v>
      </c>
      <c r="B26" s="4" t="s">
        <v>34</v>
      </c>
    </row>
    <row r="27" spans="1:2" ht="36" customHeight="1" x14ac:dyDescent="0.2">
      <c r="A27" s="3" t="s">
        <v>35</v>
      </c>
      <c r="B27" s="4" t="s">
        <v>36</v>
      </c>
    </row>
    <row r="28" spans="1:2" ht="48" customHeight="1" x14ac:dyDescent="0.2">
      <c r="A28" s="3" t="s">
        <v>37</v>
      </c>
      <c r="B28" s="4" t="s">
        <v>38</v>
      </c>
    </row>
    <row r="29" spans="1:2" ht="24" customHeight="1" x14ac:dyDescent="0.2">
      <c r="A29" s="3" t="s">
        <v>39</v>
      </c>
      <c r="B29" s="4" t="s">
        <v>40</v>
      </c>
    </row>
    <row r="30" spans="1:2" x14ac:dyDescent="0.2">
      <c r="A30" s="3"/>
      <c r="B30" s="4"/>
    </row>
    <row r="31" spans="1:2" x14ac:dyDescent="0.2">
      <c r="A31" s="5" t="s">
        <v>41</v>
      </c>
      <c r="B31" s="4"/>
    </row>
    <row r="32" spans="1:2" ht="24" customHeight="1" x14ac:dyDescent="0.2">
      <c r="A32" s="3"/>
      <c r="B32" s="4" t="s">
        <v>42</v>
      </c>
    </row>
    <row r="33" spans="1:2" ht="36" customHeight="1" x14ac:dyDescent="0.2">
      <c r="A33" s="3"/>
      <c r="B33" s="4" t="s">
        <v>43</v>
      </c>
    </row>
    <row r="34" spans="1:2" ht="24" customHeight="1" x14ac:dyDescent="0.2">
      <c r="A34" s="3"/>
      <c r="B34" s="4" t="s">
        <v>44</v>
      </c>
    </row>
    <row r="35" spans="1:2" ht="24" customHeight="1" x14ac:dyDescent="0.2">
      <c r="A35" s="3"/>
      <c r="B35" s="4" t="s">
        <v>45</v>
      </c>
    </row>
    <row r="36" spans="1:2" ht="36" customHeight="1" x14ac:dyDescent="0.2">
      <c r="A36" s="3"/>
      <c r="B36" s="4" t="s">
        <v>46</v>
      </c>
    </row>
    <row r="37" spans="1:2" x14ac:dyDescent="0.2">
      <c r="A37" s="3"/>
      <c r="B37" s="4"/>
    </row>
    <row r="38" spans="1:2" x14ac:dyDescent="0.2">
      <c r="A38" s="5" t="s">
        <v>47</v>
      </c>
      <c r="B38" s="4"/>
    </row>
    <row r="39" spans="1:2" ht="60" customHeight="1" x14ac:dyDescent="0.2">
      <c r="A39" s="3"/>
      <c r="B39" s="4" t="s">
        <v>48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showGridLines="0" zoomScaleNormal="100" workbookViewId="0">
      <pane ySplit="4" topLeftCell="A5" activePane="bottomLeft" state="frozen"/>
      <selection pane="bottomLeft"/>
    </sheetView>
  </sheetViews>
  <sheetFormatPr baseColWidth="10" defaultColWidth="8.6640625" defaultRowHeight="15" x14ac:dyDescent="0.2"/>
  <cols>
    <col min="1" max="1" width="5" customWidth="1"/>
    <col min="2" max="2" width="40" customWidth="1"/>
    <col min="3" max="3" width="26" customWidth="1"/>
    <col min="4" max="4" width="11" customWidth="1"/>
    <col min="5" max="5" width="18" customWidth="1"/>
    <col min="6" max="6" width="70" customWidth="1"/>
  </cols>
  <sheetData>
    <row r="1" spans="1:6" ht="19.5" customHeight="1" x14ac:dyDescent="0.2">
      <c r="A1" s="6" t="s">
        <v>49</v>
      </c>
    </row>
    <row r="2" spans="1:6" x14ac:dyDescent="0.2">
      <c r="A2" s="7" t="s">
        <v>50</v>
      </c>
      <c r="B2" s="8"/>
      <c r="C2" s="8"/>
      <c r="D2" s="8"/>
      <c r="E2" s="8"/>
      <c r="F2" s="8"/>
    </row>
    <row r="4" spans="1:6" ht="30" customHeight="1" x14ac:dyDescent="0.2">
      <c r="A4" s="9" t="s">
        <v>51</v>
      </c>
      <c r="B4" s="9" t="s">
        <v>52</v>
      </c>
      <c r="C4" s="9" t="s">
        <v>53</v>
      </c>
      <c r="D4" s="9" t="s">
        <v>5</v>
      </c>
      <c r="E4" s="9" t="s">
        <v>54</v>
      </c>
      <c r="F4" s="9" t="s">
        <v>27</v>
      </c>
    </row>
    <row r="5" spans="1:6" x14ac:dyDescent="0.2">
      <c r="A5" s="10">
        <v>1</v>
      </c>
      <c r="B5" s="11" t="s">
        <v>55</v>
      </c>
      <c r="C5" s="11" t="s">
        <v>56</v>
      </c>
      <c r="D5" s="12">
        <f>COUNTIF(Hospitals!$D$5:$D$58,$B5)</f>
        <v>8</v>
      </c>
      <c r="E5" s="12">
        <f>SUMIF(Hospitals!$D$5:$D$58,$B5,Hospitals!$E$5:$E$58)</f>
        <v>2471</v>
      </c>
      <c r="F5" s="13" t="s">
        <v>57</v>
      </c>
    </row>
    <row r="6" spans="1:6" x14ac:dyDescent="0.2">
      <c r="A6" s="14">
        <v>2</v>
      </c>
      <c r="B6" s="15" t="s">
        <v>58</v>
      </c>
      <c r="C6" s="15" t="s">
        <v>59</v>
      </c>
      <c r="D6" s="16">
        <f>COUNTIF(Hospitals!$D$5:$D$58,$B6)</f>
        <v>10</v>
      </c>
      <c r="E6" s="16">
        <f>SUMIF(Hospitals!$D$5:$D$58,$B6,Hospitals!$E$5:$E$58)</f>
        <v>2318</v>
      </c>
      <c r="F6" s="17" t="s">
        <v>60</v>
      </c>
    </row>
    <row r="7" spans="1:6" x14ac:dyDescent="0.2">
      <c r="A7" s="10">
        <v>3</v>
      </c>
      <c r="B7" s="11" t="s">
        <v>61</v>
      </c>
      <c r="C7" s="11" t="s">
        <v>62</v>
      </c>
      <c r="D7" s="12">
        <f>COUNTIF(Hospitals!$D$5:$D$58,$B7)</f>
        <v>7</v>
      </c>
      <c r="E7" s="12">
        <f>SUMIF(Hospitals!$D$5:$D$58,$B7,Hospitals!$E$5:$E$58)</f>
        <v>1324</v>
      </c>
      <c r="F7" s="13" t="s">
        <v>63</v>
      </c>
    </row>
    <row r="8" spans="1:6" x14ac:dyDescent="0.2">
      <c r="A8" s="14">
        <v>4</v>
      </c>
      <c r="B8" s="15" t="s">
        <v>64</v>
      </c>
      <c r="C8" s="15" t="s">
        <v>65</v>
      </c>
      <c r="D8" s="16">
        <f>COUNTIF(Hospitals!$D$5:$D$58,$B8)</f>
        <v>5</v>
      </c>
      <c r="E8" s="16">
        <f>SUMIF(Hospitals!$D$5:$D$58,$B8,Hospitals!$E$5:$E$58)</f>
        <v>978</v>
      </c>
      <c r="F8" s="17" t="s">
        <v>66</v>
      </c>
    </row>
    <row r="9" spans="1:6" x14ac:dyDescent="0.2">
      <c r="A9" s="10">
        <v>5</v>
      </c>
      <c r="B9" s="11" t="s">
        <v>67</v>
      </c>
      <c r="C9" s="11" t="s">
        <v>68</v>
      </c>
      <c r="D9" s="12">
        <f>COUNTIF(Hospitals!$D$5:$D$58,$B9)</f>
        <v>4</v>
      </c>
      <c r="E9" s="12">
        <f>SUMIF(Hospitals!$D$5:$D$58,$B9,Hospitals!$E$5:$E$58)</f>
        <v>958</v>
      </c>
      <c r="F9" s="13" t="s">
        <v>69</v>
      </c>
    </row>
    <row r="10" spans="1:6" x14ac:dyDescent="0.2">
      <c r="A10" s="14">
        <v>6</v>
      </c>
      <c r="B10" s="15" t="s">
        <v>70</v>
      </c>
      <c r="C10" s="15" t="s">
        <v>71</v>
      </c>
      <c r="D10" s="16">
        <f>COUNTIF(Hospitals!$D$5:$D$58,$B10)</f>
        <v>4</v>
      </c>
      <c r="E10" s="16">
        <f>SUMIF(Hospitals!$D$5:$D$58,$B10,Hospitals!$E$5:$E$58)</f>
        <v>543</v>
      </c>
      <c r="F10" s="17" t="s">
        <v>72</v>
      </c>
    </row>
    <row r="11" spans="1:6" x14ac:dyDescent="0.2">
      <c r="A11" s="10">
        <v>7</v>
      </c>
      <c r="B11" s="11" t="s">
        <v>73</v>
      </c>
      <c r="C11" s="11" t="s">
        <v>74</v>
      </c>
      <c r="D11" s="12">
        <f>COUNTIF(Hospitals!$D$5:$D$58,$B11)</f>
        <v>1</v>
      </c>
      <c r="E11" s="12">
        <f>SUMIF(Hospitals!$D$5:$D$58,$B11,Hospitals!$E$5:$E$58)</f>
        <v>525</v>
      </c>
      <c r="F11" s="13" t="s">
        <v>75</v>
      </c>
    </row>
    <row r="12" spans="1:6" x14ac:dyDescent="0.2">
      <c r="A12" s="14">
        <v>8</v>
      </c>
      <c r="B12" s="15" t="s">
        <v>76</v>
      </c>
      <c r="C12" s="15" t="s">
        <v>77</v>
      </c>
      <c r="D12" s="16">
        <f>COUNTIF(Hospitals!$D$5:$D$58,$B12)</f>
        <v>1</v>
      </c>
      <c r="E12" s="16">
        <f>SUMIF(Hospitals!$D$5:$D$58,$B12,Hospitals!$E$5:$E$58)</f>
        <v>187</v>
      </c>
      <c r="F12" s="17" t="s">
        <v>78</v>
      </c>
    </row>
    <row r="13" spans="1:6" x14ac:dyDescent="0.2">
      <c r="A13" s="10">
        <v>9</v>
      </c>
      <c r="B13" s="11" t="s">
        <v>79</v>
      </c>
      <c r="C13" s="11" t="s">
        <v>71</v>
      </c>
      <c r="D13" s="12">
        <f>COUNTIF(Hospitals!$D$5:$D$58,$B13)</f>
        <v>1</v>
      </c>
      <c r="E13" s="12">
        <f>SUMIF(Hospitals!$D$5:$D$58,$B13,Hospitals!$E$5:$E$58)</f>
        <v>167</v>
      </c>
      <c r="F13" s="13" t="s">
        <v>80</v>
      </c>
    </row>
    <row r="14" spans="1:6" x14ac:dyDescent="0.2">
      <c r="A14" s="14">
        <v>10</v>
      </c>
      <c r="B14" s="15" t="s">
        <v>81</v>
      </c>
      <c r="C14" s="15" t="s">
        <v>71</v>
      </c>
      <c r="D14" s="16">
        <f>COUNTIF(Hospitals!$D$5:$D$58,$B14)</f>
        <v>1</v>
      </c>
      <c r="E14" s="16">
        <f>SUMIF(Hospitals!$D$5:$D$58,$B14,Hospitals!$E$5:$E$58)</f>
        <v>93</v>
      </c>
      <c r="F14" s="17" t="s">
        <v>82</v>
      </c>
    </row>
    <row r="15" spans="1:6" x14ac:dyDescent="0.2">
      <c r="A15" s="10">
        <v>11</v>
      </c>
      <c r="B15" s="11" t="s">
        <v>83</v>
      </c>
      <c r="C15" s="11" t="s">
        <v>71</v>
      </c>
      <c r="D15" s="12">
        <f>COUNTIF(Hospitals!$D$5:$D$58,$B15)</f>
        <v>1</v>
      </c>
      <c r="E15" s="12">
        <f>SUMIF(Hospitals!$D$5:$D$58,$B15,Hospitals!$E$5:$E$58)</f>
        <v>46</v>
      </c>
      <c r="F15" s="13" t="s">
        <v>84</v>
      </c>
    </row>
    <row r="16" spans="1:6" x14ac:dyDescent="0.2">
      <c r="A16" s="18"/>
      <c r="B16" s="19" t="s">
        <v>85</v>
      </c>
      <c r="C16" s="18"/>
      <c r="D16" s="20">
        <f>SUM(D5:D15)</f>
        <v>43</v>
      </c>
      <c r="E16" s="20">
        <f>SUM(E5:E15)</f>
        <v>9610</v>
      </c>
      <c r="F16" s="18"/>
    </row>
    <row r="18" spans="2:5" x14ac:dyDescent="0.2">
      <c r="B18" s="21" t="s">
        <v>86</v>
      </c>
      <c r="E18" s="22">
        <f>SUM(E5:E10)/E16</f>
        <v>0.89406867845993754</v>
      </c>
    </row>
    <row r="20" spans="2:5" x14ac:dyDescent="0.2">
      <c r="B20" s="2" t="s">
        <v>87</v>
      </c>
    </row>
  </sheetData>
  <autoFilter ref="A4:F15"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2"/>
  <sheetViews>
    <sheetView showGridLines="0" zoomScaleNormal="100" workbookViewId="0">
      <pane ySplit="4" topLeftCell="A24" activePane="bottomLeft" state="frozen"/>
      <selection pane="bottomLeft"/>
    </sheetView>
  </sheetViews>
  <sheetFormatPr baseColWidth="10" defaultColWidth="8.6640625" defaultRowHeight="15" x14ac:dyDescent="0.2"/>
  <cols>
    <col min="1" max="1" width="5" customWidth="1"/>
    <col min="2" max="2" width="42" customWidth="1"/>
    <col min="3" max="3" width="18" customWidth="1"/>
    <col min="4" max="4" width="34" customWidth="1"/>
    <col min="5" max="5" width="13" customWidth="1"/>
    <col min="6" max="6" width="24" customWidth="1"/>
    <col min="7" max="7" width="13" customWidth="1"/>
    <col min="8" max="8" width="66" customWidth="1"/>
  </cols>
  <sheetData>
    <row r="1" spans="1:8" ht="19.5" customHeight="1" x14ac:dyDescent="0.2">
      <c r="A1" s="6" t="s">
        <v>88</v>
      </c>
    </row>
    <row r="2" spans="1:8" x14ac:dyDescent="0.2">
      <c r="A2" s="7" t="s">
        <v>89</v>
      </c>
      <c r="B2" s="8"/>
      <c r="C2" s="8"/>
      <c r="D2" s="8"/>
      <c r="E2" s="8"/>
      <c r="F2" s="8"/>
      <c r="G2" s="8"/>
      <c r="H2" s="8"/>
    </row>
    <row r="4" spans="1:8" ht="30" customHeight="1" x14ac:dyDescent="0.2">
      <c r="A4" s="9" t="s">
        <v>51</v>
      </c>
      <c r="B4" s="9" t="s">
        <v>90</v>
      </c>
      <c r="C4" s="9" t="s">
        <v>91</v>
      </c>
      <c r="D4" s="9" t="s">
        <v>52</v>
      </c>
      <c r="E4" s="9" t="s">
        <v>23</v>
      </c>
      <c r="F4" s="9" t="s">
        <v>92</v>
      </c>
      <c r="G4" s="9" t="s">
        <v>21</v>
      </c>
      <c r="H4" s="9" t="s">
        <v>27</v>
      </c>
    </row>
    <row r="5" spans="1:8" x14ac:dyDescent="0.2">
      <c r="A5" s="23" t="s">
        <v>93</v>
      </c>
      <c r="B5" s="24"/>
      <c r="C5" s="24"/>
      <c r="D5" s="24"/>
      <c r="E5" s="24"/>
      <c r="F5" s="24"/>
      <c r="G5" s="24"/>
      <c r="H5" s="24"/>
    </row>
    <row r="6" spans="1:8" x14ac:dyDescent="0.2">
      <c r="A6" s="10">
        <v>1</v>
      </c>
      <c r="B6" s="11" t="s">
        <v>94</v>
      </c>
      <c r="C6" s="11" t="s">
        <v>95</v>
      </c>
      <c r="D6" s="11" t="s">
        <v>55</v>
      </c>
      <c r="E6" s="12">
        <v>680</v>
      </c>
      <c r="F6" s="11" t="s">
        <v>96</v>
      </c>
      <c r="G6" s="11" t="s">
        <v>97</v>
      </c>
      <c r="H6" s="13" t="s">
        <v>98</v>
      </c>
    </row>
    <row r="7" spans="1:8" x14ac:dyDescent="0.2">
      <c r="A7" s="14">
        <v>2</v>
      </c>
      <c r="B7" s="15" t="s">
        <v>99</v>
      </c>
      <c r="C7" s="15" t="s">
        <v>100</v>
      </c>
      <c r="D7" s="15" t="s">
        <v>55</v>
      </c>
      <c r="E7" s="16">
        <v>504</v>
      </c>
      <c r="F7" s="15" t="s">
        <v>101</v>
      </c>
      <c r="G7" s="15" t="s">
        <v>97</v>
      </c>
      <c r="H7" s="17" t="s">
        <v>102</v>
      </c>
    </row>
    <row r="8" spans="1:8" x14ac:dyDescent="0.2">
      <c r="A8" s="10">
        <v>3</v>
      </c>
      <c r="B8" s="11" t="s">
        <v>103</v>
      </c>
      <c r="C8" s="11" t="s">
        <v>95</v>
      </c>
      <c r="D8" s="11" t="s">
        <v>55</v>
      </c>
      <c r="E8" s="12">
        <v>422</v>
      </c>
      <c r="F8" s="11" t="s">
        <v>101</v>
      </c>
      <c r="G8" s="11" t="s">
        <v>97</v>
      </c>
      <c r="H8" s="13" t="s">
        <v>104</v>
      </c>
    </row>
    <row r="9" spans="1:8" x14ac:dyDescent="0.2">
      <c r="A9" s="14">
        <v>4</v>
      </c>
      <c r="B9" s="15" t="s">
        <v>105</v>
      </c>
      <c r="C9" s="15" t="s">
        <v>106</v>
      </c>
      <c r="D9" s="15" t="s">
        <v>55</v>
      </c>
      <c r="E9" s="16">
        <v>346</v>
      </c>
      <c r="F9" s="15" t="s">
        <v>101</v>
      </c>
      <c r="G9" s="15" t="s">
        <v>97</v>
      </c>
      <c r="H9" s="17" t="s">
        <v>107</v>
      </c>
    </row>
    <row r="10" spans="1:8" x14ac:dyDescent="0.2">
      <c r="A10" s="10">
        <v>5</v>
      </c>
      <c r="B10" s="11" t="s">
        <v>108</v>
      </c>
      <c r="C10" s="11" t="s">
        <v>109</v>
      </c>
      <c r="D10" s="11" t="s">
        <v>55</v>
      </c>
      <c r="E10" s="12">
        <v>284</v>
      </c>
      <c r="F10" s="11" t="s">
        <v>101</v>
      </c>
      <c r="G10" s="11" t="s">
        <v>97</v>
      </c>
      <c r="H10" s="13" t="s">
        <v>110</v>
      </c>
    </row>
    <row r="11" spans="1:8" x14ac:dyDescent="0.2">
      <c r="A11" s="14">
        <v>6</v>
      </c>
      <c r="B11" s="15" t="s">
        <v>111</v>
      </c>
      <c r="C11" s="15" t="s">
        <v>112</v>
      </c>
      <c r="D11" s="15" t="s">
        <v>55</v>
      </c>
      <c r="E11" s="16">
        <v>157</v>
      </c>
      <c r="F11" s="15" t="s">
        <v>101</v>
      </c>
      <c r="G11" s="15" t="s">
        <v>97</v>
      </c>
      <c r="H11" s="17" t="s">
        <v>113</v>
      </c>
    </row>
    <row r="12" spans="1:8" x14ac:dyDescent="0.2">
      <c r="A12" s="10">
        <v>7</v>
      </c>
      <c r="B12" s="11" t="s">
        <v>114</v>
      </c>
      <c r="C12" s="11" t="s">
        <v>106</v>
      </c>
      <c r="D12" s="11" t="s">
        <v>55</v>
      </c>
      <c r="E12" s="12">
        <v>78</v>
      </c>
      <c r="F12" s="11" t="s">
        <v>115</v>
      </c>
      <c r="G12" s="11" t="s">
        <v>97</v>
      </c>
      <c r="H12" s="13" t="s">
        <v>116</v>
      </c>
    </row>
    <row r="13" spans="1:8" x14ac:dyDescent="0.2">
      <c r="A13" s="14">
        <v>8</v>
      </c>
      <c r="B13" s="15" t="s">
        <v>117</v>
      </c>
      <c r="C13" s="15" t="s">
        <v>95</v>
      </c>
      <c r="D13" s="15" t="s">
        <v>55</v>
      </c>
      <c r="E13" s="16"/>
      <c r="F13" s="15" t="s">
        <v>118</v>
      </c>
      <c r="G13" s="15" t="s">
        <v>97</v>
      </c>
      <c r="H13" s="17" t="s">
        <v>119</v>
      </c>
    </row>
    <row r="14" spans="1:8" x14ac:dyDescent="0.2">
      <c r="A14" s="23" t="s">
        <v>120</v>
      </c>
      <c r="B14" s="24"/>
      <c r="C14" s="24"/>
      <c r="D14" s="24"/>
      <c r="E14" s="24"/>
      <c r="F14" s="24"/>
      <c r="G14" s="24"/>
      <c r="H14" s="24"/>
    </row>
    <row r="15" spans="1:8" x14ac:dyDescent="0.2">
      <c r="A15" s="10">
        <v>9</v>
      </c>
      <c r="B15" s="11" t="s">
        <v>121</v>
      </c>
      <c r="C15" s="11" t="s">
        <v>106</v>
      </c>
      <c r="D15" s="11" t="s">
        <v>58</v>
      </c>
      <c r="E15" s="12">
        <v>698</v>
      </c>
      <c r="F15" s="11" t="s">
        <v>122</v>
      </c>
      <c r="G15" s="11" t="s">
        <v>97</v>
      </c>
      <c r="H15" s="13" t="s">
        <v>123</v>
      </c>
    </row>
    <row r="16" spans="1:8" x14ac:dyDescent="0.2">
      <c r="A16" s="14">
        <v>10</v>
      </c>
      <c r="B16" s="15" t="s">
        <v>124</v>
      </c>
      <c r="C16" s="15" t="s">
        <v>125</v>
      </c>
      <c r="D16" s="15" t="s">
        <v>58</v>
      </c>
      <c r="E16" s="16">
        <v>413</v>
      </c>
      <c r="F16" s="15" t="s">
        <v>101</v>
      </c>
      <c r="G16" s="15" t="s">
        <v>126</v>
      </c>
      <c r="H16" s="17" t="s">
        <v>127</v>
      </c>
    </row>
    <row r="17" spans="1:8" x14ac:dyDescent="0.2">
      <c r="A17" s="10">
        <v>11</v>
      </c>
      <c r="B17" s="11" t="s">
        <v>128</v>
      </c>
      <c r="C17" s="11" t="s">
        <v>125</v>
      </c>
      <c r="D17" s="11" t="s">
        <v>58</v>
      </c>
      <c r="E17" s="12">
        <v>300</v>
      </c>
      <c r="F17" s="11" t="s">
        <v>101</v>
      </c>
      <c r="G17" s="11" t="s">
        <v>126</v>
      </c>
      <c r="H17" s="13" t="s">
        <v>129</v>
      </c>
    </row>
    <row r="18" spans="1:8" x14ac:dyDescent="0.2">
      <c r="A18" s="14">
        <v>12</v>
      </c>
      <c r="B18" s="15" t="s">
        <v>130</v>
      </c>
      <c r="C18" s="15" t="s">
        <v>131</v>
      </c>
      <c r="D18" s="15" t="s">
        <v>58</v>
      </c>
      <c r="E18" s="16">
        <v>270</v>
      </c>
      <c r="F18" s="15" t="s">
        <v>101</v>
      </c>
      <c r="G18" s="15" t="s">
        <v>126</v>
      </c>
      <c r="H18" s="17" t="s">
        <v>132</v>
      </c>
    </row>
    <row r="19" spans="1:8" x14ac:dyDescent="0.2">
      <c r="A19" s="10">
        <v>13</v>
      </c>
      <c r="B19" s="11" t="s">
        <v>133</v>
      </c>
      <c r="C19" s="11" t="s">
        <v>134</v>
      </c>
      <c r="D19" s="11" t="s">
        <v>58</v>
      </c>
      <c r="E19" s="12">
        <v>216</v>
      </c>
      <c r="F19" s="11" t="s">
        <v>101</v>
      </c>
      <c r="G19" s="11" t="s">
        <v>126</v>
      </c>
      <c r="H19" s="13" t="s">
        <v>135</v>
      </c>
    </row>
    <row r="20" spans="1:8" x14ac:dyDescent="0.2">
      <c r="A20" s="14">
        <v>14</v>
      </c>
      <c r="B20" s="15" t="s">
        <v>136</v>
      </c>
      <c r="C20" s="15" t="s">
        <v>137</v>
      </c>
      <c r="D20" s="15" t="s">
        <v>58</v>
      </c>
      <c r="E20" s="16">
        <v>147</v>
      </c>
      <c r="F20" s="15" t="s">
        <v>101</v>
      </c>
      <c r="G20" s="15" t="s">
        <v>97</v>
      </c>
      <c r="H20" s="17" t="s">
        <v>138</v>
      </c>
    </row>
    <row r="21" spans="1:8" x14ac:dyDescent="0.2">
      <c r="A21" s="10">
        <v>15</v>
      </c>
      <c r="B21" s="11" t="s">
        <v>139</v>
      </c>
      <c r="C21" s="11" t="s">
        <v>140</v>
      </c>
      <c r="D21" s="11" t="s">
        <v>58</v>
      </c>
      <c r="E21" s="12">
        <v>89</v>
      </c>
      <c r="F21" s="11" t="s">
        <v>101</v>
      </c>
      <c r="G21" s="11" t="s">
        <v>97</v>
      </c>
      <c r="H21" s="13" t="s">
        <v>141</v>
      </c>
    </row>
    <row r="22" spans="1:8" x14ac:dyDescent="0.2">
      <c r="A22" s="14">
        <v>16</v>
      </c>
      <c r="B22" s="15" t="s">
        <v>142</v>
      </c>
      <c r="C22" s="15" t="s">
        <v>143</v>
      </c>
      <c r="D22" s="15" t="s">
        <v>58</v>
      </c>
      <c r="E22" s="16">
        <v>88</v>
      </c>
      <c r="F22" s="15" t="s">
        <v>101</v>
      </c>
      <c r="G22" s="15" t="s">
        <v>126</v>
      </c>
      <c r="H22" s="17" t="s">
        <v>144</v>
      </c>
    </row>
    <row r="23" spans="1:8" x14ac:dyDescent="0.2">
      <c r="A23" s="10">
        <v>17</v>
      </c>
      <c r="B23" s="11" t="s">
        <v>145</v>
      </c>
      <c r="C23" s="11" t="s">
        <v>125</v>
      </c>
      <c r="D23" s="11" t="s">
        <v>58</v>
      </c>
      <c r="E23" s="12">
        <v>57</v>
      </c>
      <c r="F23" s="11" t="s">
        <v>146</v>
      </c>
      <c r="G23" s="11" t="s">
        <v>126</v>
      </c>
      <c r="H23" s="13" t="s">
        <v>147</v>
      </c>
    </row>
    <row r="24" spans="1:8" x14ac:dyDescent="0.2">
      <c r="A24" s="14">
        <v>18</v>
      </c>
      <c r="B24" s="15" t="s">
        <v>148</v>
      </c>
      <c r="C24" s="15" t="s">
        <v>149</v>
      </c>
      <c r="D24" s="15" t="s">
        <v>58</v>
      </c>
      <c r="E24" s="16">
        <v>40</v>
      </c>
      <c r="F24" s="15" t="s">
        <v>150</v>
      </c>
      <c r="G24" s="15" t="s">
        <v>97</v>
      </c>
      <c r="H24" s="17" t="s">
        <v>151</v>
      </c>
    </row>
    <row r="25" spans="1:8" x14ac:dyDescent="0.2">
      <c r="A25" s="23" t="s">
        <v>152</v>
      </c>
      <c r="B25" s="24"/>
      <c r="C25" s="24"/>
      <c r="D25" s="24"/>
      <c r="E25" s="24"/>
      <c r="F25" s="24"/>
      <c r="G25" s="24"/>
      <c r="H25" s="24"/>
    </row>
    <row r="26" spans="1:8" x14ac:dyDescent="0.2">
      <c r="A26" s="10">
        <v>19</v>
      </c>
      <c r="B26" s="11" t="s">
        <v>153</v>
      </c>
      <c r="C26" s="11" t="s">
        <v>125</v>
      </c>
      <c r="D26" s="11" t="s">
        <v>61</v>
      </c>
      <c r="E26" s="12">
        <v>317</v>
      </c>
      <c r="F26" s="11" t="s">
        <v>101</v>
      </c>
      <c r="G26" s="11" t="s">
        <v>126</v>
      </c>
      <c r="H26" s="13" t="s">
        <v>154</v>
      </c>
    </row>
    <row r="27" spans="1:8" x14ac:dyDescent="0.2">
      <c r="A27" s="14">
        <v>20</v>
      </c>
      <c r="B27" s="15" t="s">
        <v>155</v>
      </c>
      <c r="C27" s="15" t="s">
        <v>125</v>
      </c>
      <c r="D27" s="15" t="s">
        <v>61</v>
      </c>
      <c r="E27" s="16">
        <v>300</v>
      </c>
      <c r="F27" s="15" t="s">
        <v>101</v>
      </c>
      <c r="G27" s="15" t="s">
        <v>126</v>
      </c>
      <c r="H27" s="17" t="s">
        <v>156</v>
      </c>
    </row>
    <row r="28" spans="1:8" x14ac:dyDescent="0.2">
      <c r="A28" s="10">
        <v>21</v>
      </c>
      <c r="B28" s="11" t="s">
        <v>157</v>
      </c>
      <c r="C28" s="11" t="s">
        <v>158</v>
      </c>
      <c r="D28" s="11" t="s">
        <v>61</v>
      </c>
      <c r="E28" s="12">
        <v>237</v>
      </c>
      <c r="F28" s="11" t="s">
        <v>101</v>
      </c>
      <c r="G28" s="11" t="s">
        <v>97</v>
      </c>
      <c r="H28" s="13" t="s">
        <v>159</v>
      </c>
    </row>
    <row r="29" spans="1:8" x14ac:dyDescent="0.2">
      <c r="A29" s="14">
        <v>22</v>
      </c>
      <c r="B29" s="15" t="s">
        <v>160</v>
      </c>
      <c r="C29" s="15" t="s">
        <v>161</v>
      </c>
      <c r="D29" s="15" t="s">
        <v>61</v>
      </c>
      <c r="E29" s="16">
        <v>206</v>
      </c>
      <c r="F29" s="15" t="s">
        <v>101</v>
      </c>
      <c r="G29" s="15" t="s">
        <v>97</v>
      </c>
      <c r="H29" s="17" t="s">
        <v>162</v>
      </c>
    </row>
    <row r="30" spans="1:8" x14ac:dyDescent="0.2">
      <c r="A30" s="10">
        <v>23</v>
      </c>
      <c r="B30" s="11" t="s">
        <v>163</v>
      </c>
      <c r="C30" s="11" t="s">
        <v>140</v>
      </c>
      <c r="D30" s="11" t="s">
        <v>61</v>
      </c>
      <c r="E30" s="12">
        <v>186</v>
      </c>
      <c r="F30" s="11" t="s">
        <v>101</v>
      </c>
      <c r="G30" s="11" t="s">
        <v>97</v>
      </c>
      <c r="H30" s="13" t="s">
        <v>164</v>
      </c>
    </row>
    <row r="31" spans="1:8" x14ac:dyDescent="0.2">
      <c r="A31" s="14">
        <v>24</v>
      </c>
      <c r="B31" s="15" t="s">
        <v>165</v>
      </c>
      <c r="C31" s="15" t="s">
        <v>158</v>
      </c>
      <c r="D31" s="15" t="s">
        <v>61</v>
      </c>
      <c r="E31" s="16">
        <v>48</v>
      </c>
      <c r="F31" s="15" t="s">
        <v>166</v>
      </c>
      <c r="G31" s="15" t="s">
        <v>97</v>
      </c>
      <c r="H31" s="17" t="s">
        <v>167</v>
      </c>
    </row>
    <row r="32" spans="1:8" x14ac:dyDescent="0.2">
      <c r="A32" s="10">
        <v>25</v>
      </c>
      <c r="B32" s="11" t="s">
        <v>168</v>
      </c>
      <c r="C32" s="11" t="s">
        <v>125</v>
      </c>
      <c r="D32" s="11" t="s">
        <v>61</v>
      </c>
      <c r="E32" s="12">
        <v>30</v>
      </c>
      <c r="F32" s="11" t="s">
        <v>169</v>
      </c>
      <c r="G32" s="11" t="s">
        <v>126</v>
      </c>
      <c r="H32" s="13" t="s">
        <v>170</v>
      </c>
    </row>
    <row r="33" spans="1:8" x14ac:dyDescent="0.2">
      <c r="A33" s="23" t="s">
        <v>171</v>
      </c>
      <c r="B33" s="24"/>
      <c r="C33" s="24"/>
      <c r="D33" s="24"/>
      <c r="E33" s="24"/>
      <c r="F33" s="24"/>
      <c r="G33" s="24"/>
      <c r="H33" s="24"/>
    </row>
    <row r="34" spans="1:8" x14ac:dyDescent="0.2">
      <c r="A34" s="10">
        <v>26</v>
      </c>
      <c r="B34" s="11" t="s">
        <v>172</v>
      </c>
      <c r="C34" s="11" t="s">
        <v>95</v>
      </c>
      <c r="D34" s="11" t="s">
        <v>64</v>
      </c>
      <c r="E34" s="12">
        <v>368</v>
      </c>
      <c r="F34" s="11" t="s">
        <v>96</v>
      </c>
      <c r="G34" s="11" t="s">
        <v>97</v>
      </c>
      <c r="H34" s="13" t="s">
        <v>173</v>
      </c>
    </row>
    <row r="35" spans="1:8" x14ac:dyDescent="0.2">
      <c r="A35" s="14">
        <v>27</v>
      </c>
      <c r="B35" s="15" t="s">
        <v>174</v>
      </c>
      <c r="C35" s="15" t="s">
        <v>175</v>
      </c>
      <c r="D35" s="15" t="s">
        <v>64</v>
      </c>
      <c r="E35" s="16">
        <v>231</v>
      </c>
      <c r="F35" s="15" t="s">
        <v>96</v>
      </c>
      <c r="G35" s="15" t="s">
        <v>97</v>
      </c>
      <c r="H35" s="17" t="s">
        <v>176</v>
      </c>
    </row>
    <row r="36" spans="1:8" x14ac:dyDescent="0.2">
      <c r="A36" s="10">
        <v>28</v>
      </c>
      <c r="B36" s="11" t="s">
        <v>177</v>
      </c>
      <c r="C36" s="11" t="s">
        <v>178</v>
      </c>
      <c r="D36" s="11" t="s">
        <v>64</v>
      </c>
      <c r="E36" s="12">
        <v>179</v>
      </c>
      <c r="F36" s="11" t="s">
        <v>96</v>
      </c>
      <c r="G36" s="11" t="s">
        <v>97</v>
      </c>
      <c r="H36" s="13" t="s">
        <v>179</v>
      </c>
    </row>
    <row r="37" spans="1:8" x14ac:dyDescent="0.2">
      <c r="A37" s="14">
        <v>29</v>
      </c>
      <c r="B37" s="15" t="s">
        <v>180</v>
      </c>
      <c r="C37" s="15" t="s">
        <v>181</v>
      </c>
      <c r="D37" s="15" t="s">
        <v>64</v>
      </c>
      <c r="E37" s="16">
        <v>114</v>
      </c>
      <c r="F37" s="15" t="s">
        <v>101</v>
      </c>
      <c r="G37" s="15" t="s">
        <v>97</v>
      </c>
      <c r="H37" s="17" t="s">
        <v>182</v>
      </c>
    </row>
    <row r="38" spans="1:8" x14ac:dyDescent="0.2">
      <c r="A38" s="10">
        <v>30</v>
      </c>
      <c r="B38" s="11" t="s">
        <v>183</v>
      </c>
      <c r="C38" s="11" t="s">
        <v>184</v>
      </c>
      <c r="D38" s="11" t="s">
        <v>64</v>
      </c>
      <c r="E38" s="12">
        <v>86</v>
      </c>
      <c r="F38" s="11" t="s">
        <v>101</v>
      </c>
      <c r="G38" s="11" t="s">
        <v>97</v>
      </c>
      <c r="H38" s="13" t="s">
        <v>185</v>
      </c>
    </row>
    <row r="39" spans="1:8" x14ac:dyDescent="0.2">
      <c r="A39" s="23" t="s">
        <v>186</v>
      </c>
      <c r="B39" s="24"/>
      <c r="C39" s="24"/>
      <c r="D39" s="24"/>
      <c r="E39" s="24"/>
      <c r="F39" s="24"/>
      <c r="G39" s="24"/>
      <c r="H39" s="24"/>
    </row>
    <row r="40" spans="1:8" x14ac:dyDescent="0.2">
      <c r="A40" s="10">
        <v>31</v>
      </c>
      <c r="B40" s="11" t="s">
        <v>187</v>
      </c>
      <c r="C40" s="11" t="s">
        <v>95</v>
      </c>
      <c r="D40" s="11" t="s">
        <v>67</v>
      </c>
      <c r="E40" s="12">
        <v>400</v>
      </c>
      <c r="F40" s="11" t="s">
        <v>101</v>
      </c>
      <c r="G40" s="11" t="s">
        <v>97</v>
      </c>
      <c r="H40" s="13" t="s">
        <v>188</v>
      </c>
    </row>
    <row r="41" spans="1:8" x14ac:dyDescent="0.2">
      <c r="A41" s="14">
        <v>32</v>
      </c>
      <c r="B41" s="15" t="s">
        <v>189</v>
      </c>
      <c r="C41" s="15" t="s">
        <v>190</v>
      </c>
      <c r="D41" s="15" t="s">
        <v>67</v>
      </c>
      <c r="E41" s="16">
        <v>234</v>
      </c>
      <c r="F41" s="15" t="s">
        <v>101</v>
      </c>
      <c r="G41" s="15" t="s">
        <v>97</v>
      </c>
      <c r="H41" s="17" t="s">
        <v>191</v>
      </c>
    </row>
    <row r="42" spans="1:8" x14ac:dyDescent="0.2">
      <c r="A42" s="10">
        <v>33</v>
      </c>
      <c r="B42" s="11" t="s">
        <v>192</v>
      </c>
      <c r="C42" s="11" t="s">
        <v>193</v>
      </c>
      <c r="D42" s="11" t="s">
        <v>67</v>
      </c>
      <c r="E42" s="12">
        <v>226</v>
      </c>
      <c r="F42" s="11" t="s">
        <v>101</v>
      </c>
      <c r="G42" s="11" t="s">
        <v>97</v>
      </c>
      <c r="H42" s="13" t="s">
        <v>194</v>
      </c>
    </row>
    <row r="43" spans="1:8" x14ac:dyDescent="0.2">
      <c r="A43" s="14">
        <v>34</v>
      </c>
      <c r="B43" s="15" t="s">
        <v>195</v>
      </c>
      <c r="C43" s="15" t="s">
        <v>196</v>
      </c>
      <c r="D43" s="15" t="s">
        <v>67</v>
      </c>
      <c r="E43" s="16">
        <v>98</v>
      </c>
      <c r="F43" s="15" t="s">
        <v>101</v>
      </c>
      <c r="G43" s="15" t="s">
        <v>97</v>
      </c>
      <c r="H43" s="17" t="s">
        <v>197</v>
      </c>
    </row>
    <row r="44" spans="1:8" x14ac:dyDescent="0.2">
      <c r="A44" s="23" t="s">
        <v>198</v>
      </c>
      <c r="B44" s="24"/>
      <c r="C44" s="24"/>
      <c r="D44" s="24"/>
      <c r="E44" s="24"/>
      <c r="F44" s="24"/>
      <c r="G44" s="24"/>
      <c r="H44" s="24"/>
    </row>
    <row r="45" spans="1:8" x14ac:dyDescent="0.2">
      <c r="A45" s="10">
        <v>35</v>
      </c>
      <c r="B45" s="11" t="s">
        <v>199</v>
      </c>
      <c r="C45" s="11" t="s">
        <v>106</v>
      </c>
      <c r="D45" s="11" t="s">
        <v>70</v>
      </c>
      <c r="E45" s="12">
        <v>444</v>
      </c>
      <c r="F45" s="11" t="s">
        <v>118</v>
      </c>
      <c r="G45" s="11" t="s">
        <v>97</v>
      </c>
      <c r="H45" s="13" t="s">
        <v>200</v>
      </c>
    </row>
    <row r="46" spans="1:8" x14ac:dyDescent="0.2">
      <c r="A46" s="14">
        <v>36</v>
      </c>
      <c r="B46" s="15" t="s">
        <v>201</v>
      </c>
      <c r="C46" s="15" t="s">
        <v>125</v>
      </c>
      <c r="D46" s="15" t="s">
        <v>70</v>
      </c>
      <c r="E46" s="16">
        <v>99</v>
      </c>
      <c r="F46" s="15" t="s">
        <v>118</v>
      </c>
      <c r="G46" s="15" t="s">
        <v>126</v>
      </c>
      <c r="H46" s="17" t="s">
        <v>202</v>
      </c>
    </row>
    <row r="47" spans="1:8" x14ac:dyDescent="0.2">
      <c r="A47" s="10">
        <v>37</v>
      </c>
      <c r="B47" s="11" t="s">
        <v>203</v>
      </c>
      <c r="C47" s="11" t="s">
        <v>149</v>
      </c>
      <c r="D47" s="11" t="s">
        <v>70</v>
      </c>
      <c r="E47" s="12"/>
      <c r="F47" s="11" t="s">
        <v>204</v>
      </c>
      <c r="G47" s="11" t="s">
        <v>97</v>
      </c>
      <c r="H47" s="13" t="s">
        <v>205</v>
      </c>
    </row>
    <row r="48" spans="1:8" x14ac:dyDescent="0.2">
      <c r="A48" s="14">
        <v>38</v>
      </c>
      <c r="B48" s="15" t="s">
        <v>206</v>
      </c>
      <c r="C48" s="15" t="s">
        <v>137</v>
      </c>
      <c r="D48" s="15" t="s">
        <v>70</v>
      </c>
      <c r="E48" s="16"/>
      <c r="F48" s="15" t="s">
        <v>204</v>
      </c>
      <c r="G48" s="15" t="s">
        <v>97</v>
      </c>
      <c r="H48" s="17" t="s">
        <v>205</v>
      </c>
    </row>
    <row r="49" spans="1:8" x14ac:dyDescent="0.2">
      <c r="A49" s="23" t="s">
        <v>207</v>
      </c>
      <c r="B49" s="24"/>
      <c r="C49" s="24"/>
      <c r="D49" s="24"/>
      <c r="E49" s="24"/>
      <c r="F49" s="24"/>
      <c r="G49" s="24"/>
      <c r="H49" s="24"/>
    </row>
    <row r="50" spans="1:8" x14ac:dyDescent="0.2">
      <c r="A50" s="10">
        <v>39</v>
      </c>
      <c r="B50" s="11" t="s">
        <v>208</v>
      </c>
      <c r="C50" s="11" t="s">
        <v>95</v>
      </c>
      <c r="D50" s="11" t="s">
        <v>73</v>
      </c>
      <c r="E50" s="12">
        <v>525</v>
      </c>
      <c r="F50" s="11" t="s">
        <v>209</v>
      </c>
      <c r="G50" s="11" t="s">
        <v>97</v>
      </c>
      <c r="H50" s="13" t="s">
        <v>210</v>
      </c>
    </row>
    <row r="51" spans="1:8" x14ac:dyDescent="0.2">
      <c r="A51" s="23" t="s">
        <v>211</v>
      </c>
      <c r="B51" s="24"/>
      <c r="C51" s="24"/>
      <c r="D51" s="24"/>
      <c r="E51" s="24"/>
      <c r="F51" s="24"/>
      <c r="G51" s="24"/>
      <c r="H51" s="24"/>
    </row>
    <row r="52" spans="1:8" x14ac:dyDescent="0.2">
      <c r="A52" s="10">
        <v>40</v>
      </c>
      <c r="B52" s="11" t="s">
        <v>212</v>
      </c>
      <c r="C52" s="11" t="s">
        <v>106</v>
      </c>
      <c r="D52" s="11" t="s">
        <v>76</v>
      </c>
      <c r="E52" s="12">
        <v>187</v>
      </c>
      <c r="F52" s="11" t="s">
        <v>213</v>
      </c>
      <c r="G52" s="11" t="s">
        <v>97</v>
      </c>
      <c r="H52" s="13" t="s">
        <v>214</v>
      </c>
    </row>
    <row r="53" spans="1:8" x14ac:dyDescent="0.2">
      <c r="A53" s="23" t="s">
        <v>215</v>
      </c>
      <c r="B53" s="24"/>
      <c r="C53" s="24"/>
      <c r="D53" s="24"/>
      <c r="E53" s="24"/>
      <c r="F53" s="24"/>
      <c r="G53" s="24"/>
      <c r="H53" s="24"/>
    </row>
    <row r="54" spans="1:8" x14ac:dyDescent="0.2">
      <c r="A54" s="10">
        <v>41</v>
      </c>
      <c r="B54" s="11" t="s">
        <v>216</v>
      </c>
      <c r="C54" s="11" t="s">
        <v>217</v>
      </c>
      <c r="D54" s="11" t="s">
        <v>79</v>
      </c>
      <c r="E54" s="12">
        <v>167</v>
      </c>
      <c r="F54" s="11" t="s">
        <v>101</v>
      </c>
      <c r="G54" s="11" t="s">
        <v>97</v>
      </c>
      <c r="H54" s="13" t="s">
        <v>218</v>
      </c>
    </row>
    <row r="55" spans="1:8" x14ac:dyDescent="0.2">
      <c r="A55" s="23" t="s">
        <v>219</v>
      </c>
      <c r="B55" s="24"/>
      <c r="C55" s="24"/>
      <c r="D55" s="24"/>
      <c r="E55" s="24"/>
      <c r="F55" s="24"/>
      <c r="G55" s="24"/>
      <c r="H55" s="24"/>
    </row>
    <row r="56" spans="1:8" x14ac:dyDescent="0.2">
      <c r="A56" s="10">
        <v>42</v>
      </c>
      <c r="B56" s="11" t="s">
        <v>220</v>
      </c>
      <c r="C56" s="11" t="s">
        <v>100</v>
      </c>
      <c r="D56" s="11" t="s">
        <v>81</v>
      </c>
      <c r="E56" s="12">
        <v>93</v>
      </c>
      <c r="F56" s="11" t="s">
        <v>221</v>
      </c>
      <c r="G56" s="11" t="s">
        <v>97</v>
      </c>
      <c r="H56" s="13" t="s">
        <v>222</v>
      </c>
    </row>
    <row r="57" spans="1:8" x14ac:dyDescent="0.2">
      <c r="A57" s="23" t="s">
        <v>223</v>
      </c>
      <c r="B57" s="24"/>
      <c r="C57" s="24"/>
      <c r="D57" s="24"/>
      <c r="E57" s="24"/>
      <c r="F57" s="24"/>
      <c r="G57" s="24"/>
      <c r="H57" s="24"/>
    </row>
    <row r="58" spans="1:8" x14ac:dyDescent="0.2">
      <c r="A58" s="10">
        <v>43</v>
      </c>
      <c r="B58" s="11" t="s">
        <v>224</v>
      </c>
      <c r="C58" s="11" t="s">
        <v>95</v>
      </c>
      <c r="D58" s="11" t="s">
        <v>83</v>
      </c>
      <c r="E58" s="12">
        <v>46</v>
      </c>
      <c r="F58" s="11" t="s">
        <v>225</v>
      </c>
      <c r="G58" s="11" t="s">
        <v>97</v>
      </c>
      <c r="H58" s="13" t="s">
        <v>226</v>
      </c>
    </row>
    <row r="59" spans="1:8" x14ac:dyDescent="0.2">
      <c r="A59" s="18"/>
      <c r="B59" s="19" t="s">
        <v>227</v>
      </c>
      <c r="C59" s="18"/>
      <c r="D59" s="18"/>
      <c r="E59" s="20">
        <f>SUM(E5:E58)</f>
        <v>9610</v>
      </c>
      <c r="F59" s="18"/>
      <c r="G59" s="18"/>
      <c r="H59" s="18"/>
    </row>
    <row r="61" spans="1:8" x14ac:dyDescent="0.2">
      <c r="B61" s="2" t="s">
        <v>228</v>
      </c>
    </row>
    <row r="62" spans="1:8" x14ac:dyDescent="0.2">
      <c r="B62" s="2" t="s">
        <v>229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1"/>
  <sheetViews>
    <sheetView showGridLines="0" zoomScaleNormal="100" workbookViewId="0">
      <pane ySplit="4" topLeftCell="A5" activePane="bottomLeft" state="frozen"/>
      <selection pane="bottomLeft"/>
    </sheetView>
  </sheetViews>
  <sheetFormatPr baseColWidth="10" defaultColWidth="8.6640625" defaultRowHeight="15" x14ac:dyDescent="0.2"/>
  <cols>
    <col min="1" max="1" width="5" customWidth="1"/>
    <col min="2" max="2" width="42" customWidth="1"/>
    <col min="3" max="3" width="11" customWidth="1"/>
    <col min="4" max="4" width="18" customWidth="1"/>
    <col min="5" max="5" width="14" customWidth="1"/>
    <col min="6" max="6" width="74" customWidth="1"/>
  </cols>
  <sheetData>
    <row r="1" spans="1:6" ht="19.5" customHeight="1" x14ac:dyDescent="0.2">
      <c r="A1" s="6" t="s">
        <v>230</v>
      </c>
    </row>
    <row r="2" spans="1:6" x14ac:dyDescent="0.2">
      <c r="A2" s="7" t="s">
        <v>231</v>
      </c>
      <c r="B2" s="8"/>
      <c r="C2" s="8"/>
      <c r="D2" s="8"/>
      <c r="E2" s="8"/>
      <c r="F2" s="8"/>
    </row>
    <row r="4" spans="1:6" ht="30" customHeight="1" x14ac:dyDescent="0.2">
      <c r="A4" s="9" t="s">
        <v>51</v>
      </c>
      <c r="B4" s="9" t="s">
        <v>232</v>
      </c>
      <c r="C4" s="9" t="s">
        <v>233</v>
      </c>
      <c r="D4" s="9" t="s">
        <v>54</v>
      </c>
      <c r="E4" s="9" t="s">
        <v>234</v>
      </c>
      <c r="F4" s="9" t="s">
        <v>27</v>
      </c>
    </row>
    <row r="5" spans="1:6" x14ac:dyDescent="0.2">
      <c r="A5" s="10">
        <v>1</v>
      </c>
      <c r="B5" s="11" t="s">
        <v>235</v>
      </c>
      <c r="C5" s="12">
        <f>COUNTIF('LTC Facilities'!$D$5:$D$316,$B5)</f>
        <v>33</v>
      </c>
      <c r="D5" s="12">
        <f>SUMIF('LTC Facilities'!$D$5:$D$316,$B5,'LTC Facilities'!$E$5:$E$316)</f>
        <v>3664</v>
      </c>
      <c r="E5" s="12">
        <f>COUNTIFS('LTC Facilities'!$D$5:$D$316,$B5,'LTC Facilities'!$G$5:$G$316,"Metro")</f>
        <v>22</v>
      </c>
      <c r="F5" s="13" t="s">
        <v>236</v>
      </c>
    </row>
    <row r="6" spans="1:6" x14ac:dyDescent="0.2">
      <c r="A6" s="14">
        <v>2</v>
      </c>
      <c r="B6" s="15" t="s">
        <v>237</v>
      </c>
      <c r="C6" s="16">
        <f>COUNTIF('LTC Facilities'!$D$5:$D$316,$B6)</f>
        <v>22</v>
      </c>
      <c r="D6" s="16">
        <f>SUMIF('LTC Facilities'!$D$5:$D$316,$B6,'LTC Facilities'!$E$5:$E$316)</f>
        <v>2929</v>
      </c>
      <c r="E6" s="16">
        <f>COUNTIFS('LTC Facilities'!$D$5:$D$316,$B6,'LTC Facilities'!$G$5:$G$316,"Metro")</f>
        <v>12</v>
      </c>
      <c r="F6" s="17" t="s">
        <v>238</v>
      </c>
    </row>
    <row r="7" spans="1:6" x14ac:dyDescent="0.2">
      <c r="A7" s="10">
        <v>3</v>
      </c>
      <c r="B7" s="11" t="s">
        <v>239</v>
      </c>
      <c r="C7" s="12">
        <f>COUNTIF('LTC Facilities'!$D$5:$D$316,$B7)</f>
        <v>19</v>
      </c>
      <c r="D7" s="12">
        <f>SUMIF('LTC Facilities'!$D$5:$D$316,$B7,'LTC Facilities'!$E$5:$E$316)</f>
        <v>2409</v>
      </c>
      <c r="E7" s="12">
        <f>COUNTIFS('LTC Facilities'!$D$5:$D$316,$B7,'LTC Facilities'!$G$5:$G$316,"Metro")</f>
        <v>14</v>
      </c>
      <c r="F7" s="13" t="s">
        <v>240</v>
      </c>
    </row>
    <row r="8" spans="1:6" x14ac:dyDescent="0.2">
      <c r="A8" s="14">
        <v>4</v>
      </c>
      <c r="B8" s="15" t="s">
        <v>241</v>
      </c>
      <c r="C8" s="16">
        <f>COUNTIF('LTC Facilities'!$D$5:$D$316,$B8)</f>
        <v>23</v>
      </c>
      <c r="D8" s="16">
        <f>SUMIF('LTC Facilities'!$D$5:$D$316,$B8,'LTC Facilities'!$E$5:$E$316)</f>
        <v>1909</v>
      </c>
      <c r="E8" s="16">
        <f>COUNTIFS('LTC Facilities'!$D$5:$D$316,$B8,'LTC Facilities'!$G$5:$G$316,"Metro")</f>
        <v>15</v>
      </c>
      <c r="F8" s="17" t="s">
        <v>242</v>
      </c>
    </row>
    <row r="9" spans="1:6" x14ac:dyDescent="0.2">
      <c r="A9" s="10">
        <v>5</v>
      </c>
      <c r="B9" s="11" t="s">
        <v>243</v>
      </c>
      <c r="C9" s="12">
        <f>COUNTIF('LTC Facilities'!$D$5:$D$316,$B9)</f>
        <v>12</v>
      </c>
      <c r="D9" s="12">
        <f>SUMIF('LTC Facilities'!$D$5:$D$316,$B9,'LTC Facilities'!$E$5:$E$316)</f>
        <v>1646</v>
      </c>
      <c r="E9" s="12">
        <f>COUNTIFS('LTC Facilities'!$D$5:$D$316,$B9,'LTC Facilities'!$G$5:$G$316,"Metro")</f>
        <v>5</v>
      </c>
      <c r="F9" s="13" t="s">
        <v>244</v>
      </c>
    </row>
    <row r="10" spans="1:6" x14ac:dyDescent="0.2">
      <c r="A10" s="14">
        <v>6</v>
      </c>
      <c r="B10" s="15" t="s">
        <v>245</v>
      </c>
      <c r="C10" s="16">
        <f>COUNTIF('LTC Facilities'!$D$5:$D$316,$B10)</f>
        <v>15</v>
      </c>
      <c r="D10" s="16">
        <f>SUMIF('LTC Facilities'!$D$5:$D$316,$B10,'LTC Facilities'!$E$5:$E$316)</f>
        <v>1476</v>
      </c>
      <c r="E10" s="16">
        <f>COUNTIFS('LTC Facilities'!$D$5:$D$316,$B10,'LTC Facilities'!$G$5:$G$316,"Metro")</f>
        <v>11</v>
      </c>
      <c r="F10" s="17" t="s">
        <v>246</v>
      </c>
    </row>
    <row r="11" spans="1:6" x14ac:dyDescent="0.2">
      <c r="A11" s="10">
        <v>7</v>
      </c>
      <c r="B11" s="11" t="s">
        <v>247</v>
      </c>
      <c r="C11" s="12">
        <f>COUNTIF('LTC Facilities'!$D$5:$D$316,$B11)</f>
        <v>12</v>
      </c>
      <c r="D11" s="12">
        <f>SUMIF('LTC Facilities'!$D$5:$D$316,$B11,'LTC Facilities'!$E$5:$E$316)</f>
        <v>1225</v>
      </c>
      <c r="E11" s="12">
        <f>COUNTIFS('LTC Facilities'!$D$5:$D$316,$B11,'LTC Facilities'!$G$5:$G$316,"Metro")</f>
        <v>9</v>
      </c>
      <c r="F11" s="13" t="s">
        <v>248</v>
      </c>
    </row>
    <row r="12" spans="1:6" x14ac:dyDescent="0.2">
      <c r="A12" s="14">
        <v>8</v>
      </c>
      <c r="B12" s="15" t="s">
        <v>249</v>
      </c>
      <c r="C12" s="16">
        <f>COUNTIF('LTC Facilities'!$D$5:$D$316,$B12)</f>
        <v>6</v>
      </c>
      <c r="D12" s="16">
        <f>SUMIF('LTC Facilities'!$D$5:$D$316,$B12,'LTC Facilities'!$E$5:$E$316)</f>
        <v>1113</v>
      </c>
      <c r="E12" s="16">
        <f>COUNTIFS('LTC Facilities'!$D$5:$D$316,$B12,'LTC Facilities'!$G$5:$G$316,"Metro")</f>
        <v>6</v>
      </c>
      <c r="F12" s="17" t="s">
        <v>250</v>
      </c>
    </row>
    <row r="13" spans="1:6" x14ac:dyDescent="0.2">
      <c r="A13" s="10">
        <v>9</v>
      </c>
      <c r="B13" s="11" t="s">
        <v>251</v>
      </c>
      <c r="C13" s="12">
        <f>COUNTIF('LTC Facilities'!$D$5:$D$316,$B13)</f>
        <v>9</v>
      </c>
      <c r="D13" s="12">
        <f>SUMIF('LTC Facilities'!$D$5:$D$316,$B13,'LTC Facilities'!$E$5:$E$316)</f>
        <v>709</v>
      </c>
      <c r="E13" s="12">
        <f>COUNTIFS('LTC Facilities'!$D$5:$D$316,$B13,'LTC Facilities'!$G$5:$G$316,"Metro")</f>
        <v>1</v>
      </c>
      <c r="F13" s="13"/>
    </row>
    <row r="14" spans="1:6" x14ac:dyDescent="0.2">
      <c r="A14" s="14">
        <v>10</v>
      </c>
      <c r="B14" s="15" t="s">
        <v>252</v>
      </c>
      <c r="C14" s="16">
        <f>COUNTIF('LTC Facilities'!$D$5:$D$316,$B14)</f>
        <v>6</v>
      </c>
      <c r="D14" s="16">
        <f>SUMIF('LTC Facilities'!$D$5:$D$316,$B14,'LTC Facilities'!$E$5:$E$316)</f>
        <v>675</v>
      </c>
      <c r="E14" s="16">
        <f>COUNTIFS('LTC Facilities'!$D$5:$D$316,$B14,'LTC Facilities'!$G$5:$G$316,"Metro")</f>
        <v>6</v>
      </c>
      <c r="F14" s="17" t="s">
        <v>253</v>
      </c>
    </row>
    <row r="15" spans="1:6" x14ac:dyDescent="0.2">
      <c r="A15" s="10">
        <v>11</v>
      </c>
      <c r="B15" s="11" t="s">
        <v>254</v>
      </c>
      <c r="C15" s="12">
        <f>COUNTIF('LTC Facilities'!$D$5:$D$316,$B15)</f>
        <v>6</v>
      </c>
      <c r="D15" s="12">
        <f>SUMIF('LTC Facilities'!$D$5:$D$316,$B15,'LTC Facilities'!$E$5:$E$316)</f>
        <v>646</v>
      </c>
      <c r="E15" s="12">
        <f>COUNTIFS('LTC Facilities'!$D$5:$D$316,$B15,'LTC Facilities'!$G$5:$G$316,"Metro")</f>
        <v>1</v>
      </c>
      <c r="F15" s="13" t="s">
        <v>255</v>
      </c>
    </row>
    <row r="16" spans="1:6" x14ac:dyDescent="0.2">
      <c r="A16" s="14">
        <v>12</v>
      </c>
      <c r="B16" s="15" t="s">
        <v>256</v>
      </c>
      <c r="C16" s="16">
        <f>COUNTIF('LTC Facilities'!$D$5:$D$316,$B16)</f>
        <v>8</v>
      </c>
      <c r="D16" s="16">
        <f>SUMIF('LTC Facilities'!$D$5:$D$316,$B16,'LTC Facilities'!$E$5:$E$316)</f>
        <v>636</v>
      </c>
      <c r="E16" s="16">
        <f>COUNTIFS('LTC Facilities'!$D$5:$D$316,$B16,'LTC Facilities'!$G$5:$G$316,"Metro")</f>
        <v>3</v>
      </c>
      <c r="F16" s="17"/>
    </row>
    <row r="17" spans="1:6" x14ac:dyDescent="0.2">
      <c r="A17" s="10">
        <v>13</v>
      </c>
      <c r="B17" s="11" t="s">
        <v>257</v>
      </c>
      <c r="C17" s="12">
        <f>COUNTIF('LTC Facilities'!$D$5:$D$316,$B17)</f>
        <v>8</v>
      </c>
      <c r="D17" s="12">
        <f>SUMIF('LTC Facilities'!$D$5:$D$316,$B17,'LTC Facilities'!$E$5:$E$316)</f>
        <v>610</v>
      </c>
      <c r="E17" s="12">
        <f>COUNTIFS('LTC Facilities'!$D$5:$D$316,$B17,'LTC Facilities'!$G$5:$G$316,"Metro")</f>
        <v>0</v>
      </c>
      <c r="F17" s="13"/>
    </row>
    <row r="18" spans="1:6" x14ac:dyDescent="0.2">
      <c r="A18" s="14">
        <v>14</v>
      </c>
      <c r="B18" s="15" t="s">
        <v>258</v>
      </c>
      <c r="C18" s="16">
        <f>COUNTIF('LTC Facilities'!$D$5:$D$316,$B18)</f>
        <v>8</v>
      </c>
      <c r="D18" s="16">
        <f>SUMIF('LTC Facilities'!$D$5:$D$316,$B18,'LTC Facilities'!$E$5:$E$316)</f>
        <v>596</v>
      </c>
      <c r="E18" s="16">
        <f>COUNTIFS('LTC Facilities'!$D$5:$D$316,$B18,'LTC Facilities'!$G$5:$G$316,"Metro")</f>
        <v>2</v>
      </c>
      <c r="F18" s="17"/>
    </row>
    <row r="19" spans="1:6" x14ac:dyDescent="0.2">
      <c r="A19" s="10">
        <v>15</v>
      </c>
      <c r="B19" s="11" t="s">
        <v>259</v>
      </c>
      <c r="C19" s="12">
        <f>COUNTIF('LTC Facilities'!$D$5:$D$316,$B19)</f>
        <v>5</v>
      </c>
      <c r="D19" s="12">
        <f>SUMIF('LTC Facilities'!$D$5:$D$316,$B19,'LTC Facilities'!$E$5:$E$316)</f>
        <v>554</v>
      </c>
      <c r="E19" s="12">
        <f>COUNTIFS('LTC Facilities'!$D$5:$D$316,$B19,'LTC Facilities'!$G$5:$G$316,"Metro")</f>
        <v>1</v>
      </c>
      <c r="F19" s="13" t="s">
        <v>260</v>
      </c>
    </row>
    <row r="20" spans="1:6" x14ac:dyDescent="0.2">
      <c r="A20" s="14">
        <v>16</v>
      </c>
      <c r="B20" s="15" t="s">
        <v>261</v>
      </c>
      <c r="C20" s="16">
        <f>COUNTIF('LTC Facilities'!$D$5:$D$316,$B20)</f>
        <v>5</v>
      </c>
      <c r="D20" s="16">
        <f>SUMIF('LTC Facilities'!$D$5:$D$316,$B20,'LTC Facilities'!$E$5:$E$316)</f>
        <v>500</v>
      </c>
      <c r="E20" s="16">
        <f>COUNTIFS('LTC Facilities'!$D$5:$D$316,$B20,'LTC Facilities'!$G$5:$G$316,"Metro")</f>
        <v>0</v>
      </c>
      <c r="F20" s="17" t="s">
        <v>262</v>
      </c>
    </row>
    <row r="21" spans="1:6" x14ac:dyDescent="0.2">
      <c r="A21" s="10">
        <v>17</v>
      </c>
      <c r="B21" s="11" t="s">
        <v>263</v>
      </c>
      <c r="C21" s="12">
        <f>COUNTIF('LTC Facilities'!$D$5:$D$316,$B21)</f>
        <v>5</v>
      </c>
      <c r="D21" s="12">
        <f>SUMIF('LTC Facilities'!$D$5:$D$316,$B21,'LTC Facilities'!$E$5:$E$316)</f>
        <v>482</v>
      </c>
      <c r="E21" s="12">
        <f>COUNTIFS('LTC Facilities'!$D$5:$D$316,$B21,'LTC Facilities'!$G$5:$G$316,"Metro")</f>
        <v>5</v>
      </c>
      <c r="F21" s="13" t="s">
        <v>264</v>
      </c>
    </row>
    <row r="22" spans="1:6" x14ac:dyDescent="0.2">
      <c r="A22" s="14">
        <v>18</v>
      </c>
      <c r="B22" s="15" t="s">
        <v>265</v>
      </c>
      <c r="C22" s="16">
        <f>COUNTIF('LTC Facilities'!$D$5:$D$316,$B22)</f>
        <v>7</v>
      </c>
      <c r="D22" s="16">
        <f>SUMIF('LTC Facilities'!$D$5:$D$316,$B22,'LTC Facilities'!$E$5:$E$316)</f>
        <v>439</v>
      </c>
      <c r="E22" s="16">
        <f>COUNTIFS('LTC Facilities'!$D$5:$D$316,$B22,'LTC Facilities'!$G$5:$G$316,"Metro")</f>
        <v>4</v>
      </c>
      <c r="F22" s="17" t="s">
        <v>266</v>
      </c>
    </row>
    <row r="23" spans="1:6" x14ac:dyDescent="0.2">
      <c r="A23" s="10">
        <v>19</v>
      </c>
      <c r="B23" s="11" t="s">
        <v>267</v>
      </c>
      <c r="C23" s="12">
        <f>COUNTIF('LTC Facilities'!$D$5:$D$316,$B23)</f>
        <v>6</v>
      </c>
      <c r="D23" s="12">
        <f>SUMIF('LTC Facilities'!$D$5:$D$316,$B23,'LTC Facilities'!$E$5:$E$316)</f>
        <v>433</v>
      </c>
      <c r="E23" s="12">
        <f>COUNTIFS('LTC Facilities'!$D$5:$D$316,$B23,'LTC Facilities'!$G$5:$G$316,"Metro")</f>
        <v>6</v>
      </c>
      <c r="F23" s="13" t="s">
        <v>268</v>
      </c>
    </row>
    <row r="24" spans="1:6" x14ac:dyDescent="0.2">
      <c r="A24" s="14">
        <v>20</v>
      </c>
      <c r="B24" s="15" t="s">
        <v>269</v>
      </c>
      <c r="C24" s="16">
        <f>COUNTIF('LTC Facilities'!$D$5:$D$316,$B24)</f>
        <v>4</v>
      </c>
      <c r="D24" s="16">
        <f>SUMIF('LTC Facilities'!$D$5:$D$316,$B24,'LTC Facilities'!$E$5:$E$316)</f>
        <v>404</v>
      </c>
      <c r="E24" s="16">
        <f>COUNTIFS('LTC Facilities'!$D$5:$D$316,$B24,'LTC Facilities'!$G$5:$G$316,"Metro")</f>
        <v>2</v>
      </c>
      <c r="F24" s="17"/>
    </row>
    <row r="25" spans="1:6" x14ac:dyDescent="0.2">
      <c r="A25" s="10">
        <v>21</v>
      </c>
      <c r="B25" s="11" t="s">
        <v>270</v>
      </c>
      <c r="C25" s="12">
        <f>COUNTIF('LTC Facilities'!$D$5:$D$316,$B25)</f>
        <v>5</v>
      </c>
      <c r="D25" s="12">
        <f>SUMIF('LTC Facilities'!$D$5:$D$316,$B25,'LTC Facilities'!$E$5:$E$316)</f>
        <v>389</v>
      </c>
      <c r="E25" s="12">
        <f>COUNTIFS('LTC Facilities'!$D$5:$D$316,$B25,'LTC Facilities'!$G$5:$G$316,"Metro")</f>
        <v>1</v>
      </c>
      <c r="F25" s="13"/>
    </row>
    <row r="26" spans="1:6" x14ac:dyDescent="0.2">
      <c r="A26" s="14">
        <v>22</v>
      </c>
      <c r="B26" s="15" t="s">
        <v>271</v>
      </c>
      <c r="C26" s="16">
        <f>COUNTIF('LTC Facilities'!$D$5:$D$316,$B26)</f>
        <v>4</v>
      </c>
      <c r="D26" s="16">
        <f>SUMIF('LTC Facilities'!$D$5:$D$316,$B26,'LTC Facilities'!$E$5:$E$316)</f>
        <v>338</v>
      </c>
      <c r="E26" s="16">
        <f>COUNTIFS('LTC Facilities'!$D$5:$D$316,$B26,'LTC Facilities'!$G$5:$G$316,"Metro")</f>
        <v>3</v>
      </c>
      <c r="F26" s="17"/>
    </row>
    <row r="27" spans="1:6" x14ac:dyDescent="0.2">
      <c r="A27" s="10">
        <v>23</v>
      </c>
      <c r="B27" s="11" t="s">
        <v>272</v>
      </c>
      <c r="C27" s="12">
        <f>COUNTIF('LTC Facilities'!$D$5:$D$316,$B27)</f>
        <v>2</v>
      </c>
      <c r="D27" s="12">
        <f>SUMIF('LTC Facilities'!$D$5:$D$316,$B27,'LTC Facilities'!$E$5:$E$316)</f>
        <v>323</v>
      </c>
      <c r="E27" s="12">
        <f>COUNTIFS('LTC Facilities'!$D$5:$D$316,$B27,'LTC Facilities'!$G$5:$G$316,"Metro")</f>
        <v>2</v>
      </c>
      <c r="F27" s="13"/>
    </row>
    <row r="28" spans="1:6" x14ac:dyDescent="0.2">
      <c r="A28" s="14">
        <v>24</v>
      </c>
      <c r="B28" s="15" t="s">
        <v>273</v>
      </c>
      <c r="C28" s="16">
        <f>COUNTIF('LTC Facilities'!$D$5:$D$316,$B28)</f>
        <v>1</v>
      </c>
      <c r="D28" s="16">
        <f>SUMIF('LTC Facilities'!$D$5:$D$316,$B28,'LTC Facilities'!$E$5:$E$316)</f>
        <v>316</v>
      </c>
      <c r="E28" s="16">
        <f>COUNTIFS('LTC Facilities'!$D$5:$D$316,$B28,'LTC Facilities'!$G$5:$G$316,"Metro")</f>
        <v>1</v>
      </c>
      <c r="F28" s="17" t="s">
        <v>274</v>
      </c>
    </row>
    <row r="29" spans="1:6" x14ac:dyDescent="0.2">
      <c r="A29" s="10">
        <v>25</v>
      </c>
      <c r="B29" s="11" t="s">
        <v>275</v>
      </c>
      <c r="C29" s="12">
        <f>COUNTIF('LTC Facilities'!$D$5:$D$316,$B29)</f>
        <v>1</v>
      </c>
      <c r="D29" s="12">
        <f>SUMIF('LTC Facilities'!$D$5:$D$316,$B29,'LTC Facilities'!$E$5:$E$316)</f>
        <v>300</v>
      </c>
      <c r="E29" s="12">
        <f>COUNTIFS('LTC Facilities'!$D$5:$D$316,$B29,'LTC Facilities'!$G$5:$G$316,"Metro")</f>
        <v>1</v>
      </c>
      <c r="F29" s="13"/>
    </row>
    <row r="30" spans="1:6" x14ac:dyDescent="0.2">
      <c r="A30" s="14">
        <v>26</v>
      </c>
      <c r="B30" s="15" t="s">
        <v>276</v>
      </c>
      <c r="C30" s="16">
        <f>COUNTIF('LTC Facilities'!$D$5:$D$316,$B30)</f>
        <v>5</v>
      </c>
      <c r="D30" s="16">
        <f>SUMIF('LTC Facilities'!$D$5:$D$316,$B30,'LTC Facilities'!$E$5:$E$316)</f>
        <v>228</v>
      </c>
      <c r="E30" s="16">
        <f>COUNTIFS('LTC Facilities'!$D$5:$D$316,$B30,'LTC Facilities'!$G$5:$G$316,"Metro")</f>
        <v>0</v>
      </c>
      <c r="F30" s="17" t="s">
        <v>277</v>
      </c>
    </row>
    <row r="31" spans="1:6" x14ac:dyDescent="0.2">
      <c r="A31" s="10">
        <v>27</v>
      </c>
      <c r="B31" s="11" t="s">
        <v>278</v>
      </c>
      <c r="C31" s="12">
        <f>COUNTIF('LTC Facilities'!$D$5:$D$316,$B31)</f>
        <v>2</v>
      </c>
      <c r="D31" s="12">
        <f>SUMIF('LTC Facilities'!$D$5:$D$316,$B31,'LTC Facilities'!$E$5:$E$316)</f>
        <v>215</v>
      </c>
      <c r="E31" s="12">
        <f>COUNTIFS('LTC Facilities'!$D$5:$D$316,$B31,'LTC Facilities'!$G$5:$G$316,"Metro")</f>
        <v>1</v>
      </c>
      <c r="F31" s="13"/>
    </row>
    <row r="32" spans="1:6" x14ac:dyDescent="0.2">
      <c r="A32" s="14">
        <v>28</v>
      </c>
      <c r="B32" s="15" t="s">
        <v>279</v>
      </c>
      <c r="C32" s="16">
        <f>COUNTIF('LTC Facilities'!$D$5:$D$316,$B32)</f>
        <v>1</v>
      </c>
      <c r="D32" s="16">
        <f>SUMIF('LTC Facilities'!$D$5:$D$316,$B32,'LTC Facilities'!$E$5:$E$316)</f>
        <v>207</v>
      </c>
      <c r="E32" s="16">
        <f>COUNTIFS('LTC Facilities'!$D$5:$D$316,$B32,'LTC Facilities'!$G$5:$G$316,"Metro")</f>
        <v>1</v>
      </c>
      <c r="F32" s="17"/>
    </row>
    <row r="33" spans="1:6" x14ac:dyDescent="0.2">
      <c r="A33" s="10">
        <v>29</v>
      </c>
      <c r="B33" s="11" t="s">
        <v>280</v>
      </c>
      <c r="C33" s="12">
        <f>COUNTIF('LTC Facilities'!$D$5:$D$316,$B33)</f>
        <v>2</v>
      </c>
      <c r="D33" s="12">
        <f>SUMIF('LTC Facilities'!$D$5:$D$316,$B33,'LTC Facilities'!$E$5:$E$316)</f>
        <v>206</v>
      </c>
      <c r="E33" s="12">
        <f>COUNTIFS('LTC Facilities'!$D$5:$D$316,$B33,'LTC Facilities'!$G$5:$G$316,"Metro")</f>
        <v>1</v>
      </c>
      <c r="F33" s="13"/>
    </row>
    <row r="34" spans="1:6" x14ac:dyDescent="0.2">
      <c r="A34" s="14">
        <v>30</v>
      </c>
      <c r="B34" s="15" t="s">
        <v>281</v>
      </c>
      <c r="C34" s="16">
        <f>COUNTIF('LTC Facilities'!$D$5:$D$316,$B34)</f>
        <v>1</v>
      </c>
      <c r="D34" s="16">
        <f>SUMIF('LTC Facilities'!$D$5:$D$316,$B34,'LTC Facilities'!$E$5:$E$316)</f>
        <v>165</v>
      </c>
      <c r="E34" s="16">
        <f>COUNTIFS('LTC Facilities'!$D$5:$D$316,$B34,'LTC Facilities'!$G$5:$G$316,"Metro")</f>
        <v>1</v>
      </c>
      <c r="F34" s="17"/>
    </row>
    <row r="35" spans="1:6" x14ac:dyDescent="0.2">
      <c r="A35" s="10">
        <v>31</v>
      </c>
      <c r="B35" s="11" t="s">
        <v>282</v>
      </c>
      <c r="C35" s="12">
        <f>COUNTIF('LTC Facilities'!$D$5:$D$316,$B35)</f>
        <v>1</v>
      </c>
      <c r="D35" s="12">
        <f>SUMIF('LTC Facilities'!$D$5:$D$316,$B35,'LTC Facilities'!$E$5:$E$316)</f>
        <v>160</v>
      </c>
      <c r="E35" s="12">
        <f>COUNTIFS('LTC Facilities'!$D$5:$D$316,$B35,'LTC Facilities'!$G$5:$G$316,"Metro")</f>
        <v>1</v>
      </c>
      <c r="F35" s="13"/>
    </row>
    <row r="36" spans="1:6" x14ac:dyDescent="0.2">
      <c r="A36" s="14">
        <v>32</v>
      </c>
      <c r="B36" s="15" t="s">
        <v>283</v>
      </c>
      <c r="C36" s="16">
        <f>COUNTIF('LTC Facilities'!$D$5:$D$316,$B36)</f>
        <v>3</v>
      </c>
      <c r="D36" s="16">
        <f>SUMIF('LTC Facilities'!$D$5:$D$316,$B36,'LTC Facilities'!$E$5:$E$316)</f>
        <v>160</v>
      </c>
      <c r="E36" s="16">
        <f>COUNTIFS('LTC Facilities'!$D$5:$D$316,$B36,'LTC Facilities'!$G$5:$G$316,"Metro")</f>
        <v>3</v>
      </c>
      <c r="F36" s="17"/>
    </row>
    <row r="37" spans="1:6" x14ac:dyDescent="0.2">
      <c r="A37" s="10">
        <v>33</v>
      </c>
      <c r="B37" s="11" t="s">
        <v>284</v>
      </c>
      <c r="C37" s="12">
        <f>COUNTIF('LTC Facilities'!$D$5:$D$316,$B37)</f>
        <v>3</v>
      </c>
      <c r="D37" s="12">
        <f>SUMIF('LTC Facilities'!$D$5:$D$316,$B37,'LTC Facilities'!$E$5:$E$316)</f>
        <v>146</v>
      </c>
      <c r="E37" s="12">
        <f>COUNTIFS('LTC Facilities'!$D$5:$D$316,$B37,'LTC Facilities'!$G$5:$G$316,"Metro")</f>
        <v>0</v>
      </c>
      <c r="F37" s="13" t="s">
        <v>285</v>
      </c>
    </row>
    <row r="38" spans="1:6" x14ac:dyDescent="0.2">
      <c r="A38" s="14">
        <v>34</v>
      </c>
      <c r="B38" s="15" t="s">
        <v>286</v>
      </c>
      <c r="C38" s="16">
        <f>COUNTIF('LTC Facilities'!$D$5:$D$316,$B38)</f>
        <v>3</v>
      </c>
      <c r="D38" s="16">
        <f>SUMIF('LTC Facilities'!$D$5:$D$316,$B38,'LTC Facilities'!$E$5:$E$316)</f>
        <v>135</v>
      </c>
      <c r="E38" s="16">
        <f>COUNTIFS('LTC Facilities'!$D$5:$D$316,$B38,'LTC Facilities'!$G$5:$G$316,"Metro")</f>
        <v>3</v>
      </c>
      <c r="F38" s="17"/>
    </row>
    <row r="39" spans="1:6" x14ac:dyDescent="0.2">
      <c r="A39" s="10">
        <v>35</v>
      </c>
      <c r="B39" s="11" t="s">
        <v>287</v>
      </c>
      <c r="C39" s="12">
        <f>COUNTIF('LTC Facilities'!$D$5:$D$316,$B39)</f>
        <v>1</v>
      </c>
      <c r="D39" s="12">
        <f>SUMIF('LTC Facilities'!$D$5:$D$316,$B39,'LTC Facilities'!$E$5:$E$316)</f>
        <v>133</v>
      </c>
      <c r="E39" s="12">
        <f>COUNTIFS('LTC Facilities'!$D$5:$D$316,$B39,'LTC Facilities'!$G$5:$G$316,"Metro")</f>
        <v>1</v>
      </c>
      <c r="F39" s="13"/>
    </row>
    <row r="40" spans="1:6" x14ac:dyDescent="0.2">
      <c r="A40" s="14">
        <v>36</v>
      </c>
      <c r="B40" s="15" t="s">
        <v>288</v>
      </c>
      <c r="C40" s="16">
        <f>COUNTIF('LTC Facilities'!$D$5:$D$316,$B40)</f>
        <v>3</v>
      </c>
      <c r="D40" s="16">
        <f>SUMIF('LTC Facilities'!$D$5:$D$316,$B40,'LTC Facilities'!$E$5:$E$316)</f>
        <v>124</v>
      </c>
      <c r="E40" s="16">
        <f>COUNTIFS('LTC Facilities'!$D$5:$D$316,$B40,'LTC Facilities'!$G$5:$G$316,"Metro")</f>
        <v>2</v>
      </c>
      <c r="F40" s="17"/>
    </row>
    <row r="41" spans="1:6" x14ac:dyDescent="0.2">
      <c r="A41" s="10">
        <v>37</v>
      </c>
      <c r="B41" s="11" t="s">
        <v>289</v>
      </c>
      <c r="C41" s="12">
        <f>COUNTIF('LTC Facilities'!$D$5:$D$316,$B41)</f>
        <v>1</v>
      </c>
      <c r="D41" s="12">
        <f>SUMIF('LTC Facilities'!$D$5:$D$316,$B41,'LTC Facilities'!$E$5:$E$316)</f>
        <v>120</v>
      </c>
      <c r="E41" s="12">
        <f>COUNTIFS('LTC Facilities'!$D$5:$D$316,$B41,'LTC Facilities'!$G$5:$G$316,"Metro")</f>
        <v>1</v>
      </c>
      <c r="F41" s="13"/>
    </row>
    <row r="42" spans="1:6" x14ac:dyDescent="0.2">
      <c r="A42" s="14">
        <v>38</v>
      </c>
      <c r="B42" s="15" t="s">
        <v>290</v>
      </c>
      <c r="C42" s="16">
        <f>COUNTIF('LTC Facilities'!$D$5:$D$316,$B42)</f>
        <v>1</v>
      </c>
      <c r="D42" s="16">
        <f>SUMIF('LTC Facilities'!$D$5:$D$316,$B42,'LTC Facilities'!$E$5:$E$316)</f>
        <v>105</v>
      </c>
      <c r="E42" s="16">
        <f>COUNTIFS('LTC Facilities'!$D$5:$D$316,$B42,'LTC Facilities'!$G$5:$G$316,"Metro")</f>
        <v>1</v>
      </c>
      <c r="F42" s="17"/>
    </row>
    <row r="43" spans="1:6" x14ac:dyDescent="0.2">
      <c r="A43" s="10">
        <v>39</v>
      </c>
      <c r="B43" s="11" t="s">
        <v>291</v>
      </c>
      <c r="C43" s="12">
        <f>COUNTIF('LTC Facilities'!$D$5:$D$316,$B43)</f>
        <v>1</v>
      </c>
      <c r="D43" s="12">
        <f>SUMIF('LTC Facilities'!$D$5:$D$316,$B43,'LTC Facilities'!$E$5:$E$316)</f>
        <v>100</v>
      </c>
      <c r="E43" s="12">
        <f>COUNTIFS('LTC Facilities'!$D$5:$D$316,$B43,'LTC Facilities'!$G$5:$G$316,"Metro")</f>
        <v>1</v>
      </c>
      <c r="F43" s="13"/>
    </row>
    <row r="44" spans="1:6" x14ac:dyDescent="0.2">
      <c r="A44" s="14">
        <v>40</v>
      </c>
      <c r="B44" s="15" t="s">
        <v>292</v>
      </c>
      <c r="C44" s="16">
        <f>COUNTIF('LTC Facilities'!$D$5:$D$316,$B44)</f>
        <v>1</v>
      </c>
      <c r="D44" s="16">
        <f>SUMIF('LTC Facilities'!$D$5:$D$316,$B44,'LTC Facilities'!$E$5:$E$316)</f>
        <v>44</v>
      </c>
      <c r="E44" s="16">
        <f>COUNTIFS('LTC Facilities'!$D$5:$D$316,$B44,'LTC Facilities'!$G$5:$G$316,"Metro")</f>
        <v>0</v>
      </c>
      <c r="F44" s="17"/>
    </row>
    <row r="45" spans="1:6" x14ac:dyDescent="0.2">
      <c r="A45" s="10">
        <v>41</v>
      </c>
      <c r="B45" s="11" t="s">
        <v>293</v>
      </c>
      <c r="C45" s="12">
        <f>COUNTIF('LTC Facilities'!$D$5:$D$316,$B45)</f>
        <v>1</v>
      </c>
      <c r="D45" s="12">
        <f>SUMIF('LTC Facilities'!$D$5:$D$316,$B45,'LTC Facilities'!$E$5:$E$316)</f>
        <v>42</v>
      </c>
      <c r="E45" s="12">
        <f>COUNTIFS('LTC Facilities'!$D$5:$D$316,$B45,'LTC Facilities'!$G$5:$G$316,"Metro")</f>
        <v>0</v>
      </c>
      <c r="F45" s="13"/>
    </row>
    <row r="46" spans="1:6" x14ac:dyDescent="0.2">
      <c r="A46" s="14">
        <v>42</v>
      </c>
      <c r="B46" s="15" t="s">
        <v>294</v>
      </c>
      <c r="C46" s="16">
        <f>COUNTIF('LTC Facilities'!$D$5:$D$316,$B46)</f>
        <v>1</v>
      </c>
      <c r="D46" s="16">
        <f>SUMIF('LTC Facilities'!$D$5:$D$316,$B46,'LTC Facilities'!$E$5:$E$316)</f>
        <v>24</v>
      </c>
      <c r="E46" s="16">
        <f>COUNTIFS('LTC Facilities'!$D$5:$D$316,$B46,'LTC Facilities'!$G$5:$G$316,"Metro")</f>
        <v>1</v>
      </c>
      <c r="F46" s="17"/>
    </row>
    <row r="47" spans="1:6" x14ac:dyDescent="0.2">
      <c r="A47" s="10">
        <v>43</v>
      </c>
      <c r="B47" s="11" t="s">
        <v>295</v>
      </c>
      <c r="C47" s="12">
        <f>COUNTIF('LTC Facilities'!$D$5:$D$316,$B47)</f>
        <v>4</v>
      </c>
      <c r="D47" s="12">
        <f>SUMIF('LTC Facilities'!$D$5:$D$316,$B47,'LTC Facilities'!$E$5:$E$316)</f>
        <v>0</v>
      </c>
      <c r="E47" s="12">
        <f>COUNTIFS('LTC Facilities'!$D$5:$D$316,$B47,'LTC Facilities'!$G$5:$G$316,"Metro")</f>
        <v>1</v>
      </c>
      <c r="F47" s="13" t="s">
        <v>296</v>
      </c>
    </row>
    <row r="48" spans="1:6" x14ac:dyDescent="0.2">
      <c r="A48" s="14">
        <v>44</v>
      </c>
      <c r="B48" s="15" t="s">
        <v>71</v>
      </c>
      <c r="C48" s="16">
        <f>COUNTIF('LTC Facilities'!$D$5:$D$316,$B48)</f>
        <v>1</v>
      </c>
      <c r="D48" s="16">
        <f>SUMIF('LTC Facilities'!$D$5:$D$316,$B48,'LTC Facilities'!$E$5:$E$316)</f>
        <v>0</v>
      </c>
      <c r="E48" s="16">
        <f>COUNTIFS('LTC Facilities'!$D$5:$D$316,$B48,'LTC Facilities'!$G$5:$G$316,"Metro")</f>
        <v>1</v>
      </c>
      <c r="F48" s="17"/>
    </row>
    <row r="49" spans="1:6" x14ac:dyDescent="0.2">
      <c r="A49" s="18"/>
      <c r="B49" s="19" t="s">
        <v>85</v>
      </c>
      <c r="C49" s="20">
        <f>SUM(C5:C48)</f>
        <v>268</v>
      </c>
      <c r="D49" s="20">
        <f>SUM(D5:D48)</f>
        <v>27035</v>
      </c>
      <c r="E49" s="20">
        <f>SUM(E5:E48)</f>
        <v>153</v>
      </c>
      <c r="F49" s="18"/>
    </row>
    <row r="51" spans="1:6" x14ac:dyDescent="0.2">
      <c r="B51" s="21" t="s">
        <v>297</v>
      </c>
      <c r="D51" s="22">
        <f>SUM(D5:D9)/D49</f>
        <v>0.46447198076567414</v>
      </c>
    </row>
  </sheetData>
  <autoFilter ref="A4:F48"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0"/>
  <sheetViews>
    <sheetView showGridLines="0" zoomScaleNormal="100" workbookViewId="0">
      <pane ySplit="4" topLeftCell="A5" activePane="bottomLeft" state="frozen"/>
      <selection pane="bottomLeft"/>
    </sheetView>
  </sheetViews>
  <sheetFormatPr baseColWidth="10" defaultColWidth="8.6640625" defaultRowHeight="15" x14ac:dyDescent="0.2"/>
  <cols>
    <col min="1" max="1" width="5" customWidth="1"/>
    <col min="2" max="2" width="44" customWidth="1"/>
    <col min="3" max="3" width="18" customWidth="1"/>
    <col min="4" max="4" width="38" customWidth="1"/>
    <col min="5" max="5" width="13" customWidth="1"/>
    <col min="6" max="6" width="26" customWidth="1"/>
    <col min="7" max="7" width="14" customWidth="1"/>
    <col min="8" max="8" width="60" customWidth="1"/>
  </cols>
  <sheetData>
    <row r="1" spans="1:8" ht="19.5" customHeight="1" x14ac:dyDescent="0.2">
      <c r="A1" s="6" t="s">
        <v>298</v>
      </c>
    </row>
    <row r="2" spans="1:8" x14ac:dyDescent="0.2">
      <c r="A2" s="7" t="s">
        <v>299</v>
      </c>
      <c r="B2" s="8"/>
      <c r="C2" s="8"/>
      <c r="D2" s="8"/>
      <c r="E2" s="8"/>
      <c r="F2" s="8"/>
      <c r="G2" s="8"/>
      <c r="H2" s="8"/>
    </row>
    <row r="4" spans="1:8" ht="30" customHeight="1" x14ac:dyDescent="0.2">
      <c r="A4" s="9" t="s">
        <v>51</v>
      </c>
      <c r="B4" s="9" t="s">
        <v>300</v>
      </c>
      <c r="C4" s="9" t="s">
        <v>91</v>
      </c>
      <c r="D4" s="9" t="s">
        <v>232</v>
      </c>
      <c r="E4" s="9" t="s">
        <v>23</v>
      </c>
      <c r="F4" s="9" t="s">
        <v>301</v>
      </c>
      <c r="G4" s="9" t="s">
        <v>21</v>
      </c>
      <c r="H4" s="9" t="s">
        <v>27</v>
      </c>
    </row>
    <row r="5" spans="1:8" x14ac:dyDescent="0.2">
      <c r="A5" s="23" t="s">
        <v>302</v>
      </c>
      <c r="B5" s="24"/>
      <c r="C5" s="24"/>
      <c r="D5" s="24"/>
      <c r="E5" s="24"/>
      <c r="F5" s="24"/>
      <c r="G5" s="24"/>
      <c r="H5" s="24"/>
    </row>
    <row r="6" spans="1:8" x14ac:dyDescent="0.2">
      <c r="A6" s="10">
        <v>1</v>
      </c>
      <c r="B6" s="11" t="s">
        <v>303</v>
      </c>
      <c r="C6" s="11" t="s">
        <v>106</v>
      </c>
      <c r="D6" s="11" t="s">
        <v>235</v>
      </c>
      <c r="E6" s="12">
        <v>218</v>
      </c>
      <c r="F6" s="11" t="s">
        <v>304</v>
      </c>
      <c r="G6" s="11" t="s">
        <v>97</v>
      </c>
      <c r="H6" s="13"/>
    </row>
    <row r="7" spans="1:8" x14ac:dyDescent="0.2">
      <c r="A7" s="14">
        <v>2</v>
      </c>
      <c r="B7" s="15" t="s">
        <v>305</v>
      </c>
      <c r="C7" s="15" t="s">
        <v>158</v>
      </c>
      <c r="D7" s="15" t="s">
        <v>235</v>
      </c>
      <c r="E7" s="16">
        <v>170</v>
      </c>
      <c r="F7" s="15" t="s">
        <v>304</v>
      </c>
      <c r="G7" s="15" t="s">
        <v>97</v>
      </c>
      <c r="H7" s="17"/>
    </row>
    <row r="8" spans="1:8" x14ac:dyDescent="0.2">
      <c r="A8" s="10">
        <v>3</v>
      </c>
      <c r="B8" s="11" t="s">
        <v>306</v>
      </c>
      <c r="C8" s="11" t="s">
        <v>307</v>
      </c>
      <c r="D8" s="11" t="s">
        <v>235</v>
      </c>
      <c r="E8" s="12">
        <v>162</v>
      </c>
      <c r="F8" s="11" t="s">
        <v>304</v>
      </c>
      <c r="G8" s="11" t="s">
        <v>97</v>
      </c>
      <c r="H8" s="13"/>
    </row>
    <row r="9" spans="1:8" x14ac:dyDescent="0.2">
      <c r="A9" s="14">
        <v>4</v>
      </c>
      <c r="B9" s="15" t="s">
        <v>308</v>
      </c>
      <c r="C9" s="15" t="s">
        <v>112</v>
      </c>
      <c r="D9" s="15" t="s">
        <v>235</v>
      </c>
      <c r="E9" s="16">
        <v>160</v>
      </c>
      <c r="F9" s="15" t="s">
        <v>304</v>
      </c>
      <c r="G9" s="15" t="s">
        <v>97</v>
      </c>
      <c r="H9" s="17" t="s">
        <v>309</v>
      </c>
    </row>
    <row r="10" spans="1:8" x14ac:dyDescent="0.2">
      <c r="A10" s="10">
        <v>5</v>
      </c>
      <c r="B10" s="11" t="s">
        <v>310</v>
      </c>
      <c r="C10" s="11" t="s">
        <v>178</v>
      </c>
      <c r="D10" s="11" t="s">
        <v>235</v>
      </c>
      <c r="E10" s="12">
        <v>154</v>
      </c>
      <c r="F10" s="11" t="s">
        <v>304</v>
      </c>
      <c r="G10" s="11" t="s">
        <v>97</v>
      </c>
      <c r="H10" s="13"/>
    </row>
    <row r="11" spans="1:8" x14ac:dyDescent="0.2">
      <c r="A11" s="14">
        <v>6</v>
      </c>
      <c r="B11" s="15" t="s">
        <v>311</v>
      </c>
      <c r="C11" s="15" t="s">
        <v>312</v>
      </c>
      <c r="D11" s="15" t="s">
        <v>235</v>
      </c>
      <c r="E11" s="16">
        <v>151</v>
      </c>
      <c r="F11" s="15" t="s">
        <v>304</v>
      </c>
      <c r="G11" s="15" t="s">
        <v>313</v>
      </c>
      <c r="H11" s="17"/>
    </row>
    <row r="12" spans="1:8" x14ac:dyDescent="0.2">
      <c r="A12" s="10">
        <v>7</v>
      </c>
      <c r="B12" s="11" t="s">
        <v>314</v>
      </c>
      <c r="C12" s="11" t="s">
        <v>217</v>
      </c>
      <c r="D12" s="11" t="s">
        <v>235</v>
      </c>
      <c r="E12" s="12">
        <v>140</v>
      </c>
      <c r="F12" s="11" t="s">
        <v>304</v>
      </c>
      <c r="G12" s="11" t="s">
        <v>97</v>
      </c>
      <c r="H12" s="13"/>
    </row>
    <row r="13" spans="1:8" x14ac:dyDescent="0.2">
      <c r="A13" s="14">
        <v>8</v>
      </c>
      <c r="B13" s="15" t="s">
        <v>315</v>
      </c>
      <c r="C13" s="15" t="s">
        <v>95</v>
      </c>
      <c r="D13" s="15" t="s">
        <v>235</v>
      </c>
      <c r="E13" s="16">
        <v>133</v>
      </c>
      <c r="F13" s="15" t="s">
        <v>304</v>
      </c>
      <c r="G13" s="15" t="s">
        <v>97</v>
      </c>
      <c r="H13" s="17"/>
    </row>
    <row r="14" spans="1:8" x14ac:dyDescent="0.2">
      <c r="A14" s="10">
        <v>9</v>
      </c>
      <c r="B14" s="11" t="s">
        <v>316</v>
      </c>
      <c r="C14" s="11" t="s">
        <v>317</v>
      </c>
      <c r="D14" s="11" t="s">
        <v>235</v>
      </c>
      <c r="E14" s="12">
        <v>133</v>
      </c>
      <c r="F14" s="11" t="s">
        <v>304</v>
      </c>
      <c r="G14" s="11" t="s">
        <v>313</v>
      </c>
      <c r="H14" s="13"/>
    </row>
    <row r="15" spans="1:8" x14ac:dyDescent="0.2">
      <c r="A15" s="14">
        <v>10</v>
      </c>
      <c r="B15" s="15" t="s">
        <v>318</v>
      </c>
      <c r="C15" s="15" t="s">
        <v>106</v>
      </c>
      <c r="D15" s="15" t="s">
        <v>235</v>
      </c>
      <c r="E15" s="16">
        <v>130</v>
      </c>
      <c r="F15" s="15" t="s">
        <v>319</v>
      </c>
      <c r="G15" s="15" t="s">
        <v>97</v>
      </c>
      <c r="H15" s="17" t="s">
        <v>320</v>
      </c>
    </row>
    <row r="16" spans="1:8" x14ac:dyDescent="0.2">
      <c r="A16" s="10">
        <v>11</v>
      </c>
      <c r="B16" s="11" t="s">
        <v>321</v>
      </c>
      <c r="C16" s="11" t="s">
        <v>100</v>
      </c>
      <c r="D16" s="11" t="s">
        <v>235</v>
      </c>
      <c r="E16" s="12">
        <v>128</v>
      </c>
      <c r="F16" s="11" t="s">
        <v>304</v>
      </c>
      <c r="G16" s="11" t="s">
        <v>97</v>
      </c>
      <c r="H16" s="13"/>
    </row>
    <row r="17" spans="1:8" x14ac:dyDescent="0.2">
      <c r="A17" s="14">
        <v>12</v>
      </c>
      <c r="B17" s="15" t="s">
        <v>322</v>
      </c>
      <c r="C17" s="15" t="s">
        <v>95</v>
      </c>
      <c r="D17" s="15" t="s">
        <v>235</v>
      </c>
      <c r="E17" s="16">
        <v>125</v>
      </c>
      <c r="F17" s="15" t="s">
        <v>304</v>
      </c>
      <c r="G17" s="15" t="s">
        <v>97</v>
      </c>
      <c r="H17" s="17"/>
    </row>
    <row r="18" spans="1:8" x14ac:dyDescent="0.2">
      <c r="A18" s="10">
        <v>13</v>
      </c>
      <c r="B18" s="11" t="s">
        <v>323</v>
      </c>
      <c r="C18" s="11" t="s">
        <v>324</v>
      </c>
      <c r="D18" s="11" t="s">
        <v>235</v>
      </c>
      <c r="E18" s="12">
        <v>112</v>
      </c>
      <c r="F18" s="11" t="s">
        <v>304</v>
      </c>
      <c r="G18" s="11" t="s">
        <v>97</v>
      </c>
      <c r="H18" s="13"/>
    </row>
    <row r="19" spans="1:8" x14ac:dyDescent="0.2">
      <c r="A19" s="14">
        <v>14</v>
      </c>
      <c r="B19" s="15" t="s">
        <v>325</v>
      </c>
      <c r="C19" s="15" t="s">
        <v>140</v>
      </c>
      <c r="D19" s="15" t="s">
        <v>235</v>
      </c>
      <c r="E19" s="16">
        <v>110</v>
      </c>
      <c r="F19" s="15" t="s">
        <v>304</v>
      </c>
      <c r="G19" s="15" t="s">
        <v>97</v>
      </c>
      <c r="H19" s="17"/>
    </row>
    <row r="20" spans="1:8" x14ac:dyDescent="0.2">
      <c r="A20" s="10">
        <v>15</v>
      </c>
      <c r="B20" s="11" t="s">
        <v>326</v>
      </c>
      <c r="C20" s="11" t="s">
        <v>196</v>
      </c>
      <c r="D20" s="11" t="s">
        <v>235</v>
      </c>
      <c r="E20" s="12">
        <v>108</v>
      </c>
      <c r="F20" s="11" t="s">
        <v>304</v>
      </c>
      <c r="G20" s="11" t="s">
        <v>97</v>
      </c>
      <c r="H20" s="13"/>
    </row>
    <row r="21" spans="1:8" x14ac:dyDescent="0.2">
      <c r="A21" s="14">
        <v>16</v>
      </c>
      <c r="B21" s="15" t="s">
        <v>327</v>
      </c>
      <c r="C21" s="15" t="s">
        <v>143</v>
      </c>
      <c r="D21" s="15" t="s">
        <v>235</v>
      </c>
      <c r="E21" s="16">
        <v>107</v>
      </c>
      <c r="F21" s="15" t="s">
        <v>304</v>
      </c>
      <c r="G21" s="15" t="s">
        <v>126</v>
      </c>
      <c r="H21" s="17"/>
    </row>
    <row r="22" spans="1:8" x14ac:dyDescent="0.2">
      <c r="A22" s="10">
        <v>17</v>
      </c>
      <c r="B22" s="11" t="s">
        <v>328</v>
      </c>
      <c r="C22" s="11" t="s">
        <v>312</v>
      </c>
      <c r="D22" s="11" t="s">
        <v>235</v>
      </c>
      <c r="E22" s="12">
        <v>106</v>
      </c>
      <c r="F22" s="11" t="s">
        <v>304</v>
      </c>
      <c r="G22" s="11" t="s">
        <v>313</v>
      </c>
      <c r="H22" s="13"/>
    </row>
    <row r="23" spans="1:8" x14ac:dyDescent="0.2">
      <c r="A23" s="14">
        <v>18</v>
      </c>
      <c r="B23" s="15" t="s">
        <v>329</v>
      </c>
      <c r="C23" s="15" t="s">
        <v>131</v>
      </c>
      <c r="D23" s="15" t="s">
        <v>235</v>
      </c>
      <c r="E23" s="16">
        <v>106</v>
      </c>
      <c r="F23" s="15" t="s">
        <v>304</v>
      </c>
      <c r="G23" s="15" t="s">
        <v>126</v>
      </c>
      <c r="H23" s="17"/>
    </row>
    <row r="24" spans="1:8" x14ac:dyDescent="0.2">
      <c r="A24" s="10">
        <v>19</v>
      </c>
      <c r="B24" s="11" t="s">
        <v>330</v>
      </c>
      <c r="C24" s="11" t="s">
        <v>95</v>
      </c>
      <c r="D24" s="11" t="s">
        <v>235</v>
      </c>
      <c r="E24" s="12">
        <v>106</v>
      </c>
      <c r="F24" s="11" t="s">
        <v>304</v>
      </c>
      <c r="G24" s="11" t="s">
        <v>97</v>
      </c>
      <c r="H24" s="13"/>
    </row>
    <row r="25" spans="1:8" x14ac:dyDescent="0.2">
      <c r="A25" s="14">
        <v>20</v>
      </c>
      <c r="B25" s="15" t="s">
        <v>331</v>
      </c>
      <c r="C25" s="15" t="s">
        <v>332</v>
      </c>
      <c r="D25" s="15" t="s">
        <v>235</v>
      </c>
      <c r="E25" s="16">
        <v>104</v>
      </c>
      <c r="F25" s="15" t="s">
        <v>304</v>
      </c>
      <c r="G25" s="15" t="s">
        <v>126</v>
      </c>
      <c r="H25" s="17"/>
    </row>
    <row r="26" spans="1:8" x14ac:dyDescent="0.2">
      <c r="A26" s="10">
        <v>21</v>
      </c>
      <c r="B26" s="11" t="s">
        <v>333</v>
      </c>
      <c r="C26" s="11" t="s">
        <v>193</v>
      </c>
      <c r="D26" s="11" t="s">
        <v>235</v>
      </c>
      <c r="E26" s="12">
        <v>103</v>
      </c>
      <c r="F26" s="11" t="s">
        <v>304</v>
      </c>
      <c r="G26" s="11" t="s">
        <v>97</v>
      </c>
      <c r="H26" s="13"/>
    </row>
    <row r="27" spans="1:8" x14ac:dyDescent="0.2">
      <c r="A27" s="14">
        <v>22</v>
      </c>
      <c r="B27" s="15" t="s">
        <v>334</v>
      </c>
      <c r="C27" s="15" t="s">
        <v>143</v>
      </c>
      <c r="D27" s="15" t="s">
        <v>235</v>
      </c>
      <c r="E27" s="16">
        <v>100</v>
      </c>
      <c r="F27" s="15" t="s">
        <v>304</v>
      </c>
      <c r="G27" s="15" t="s">
        <v>126</v>
      </c>
      <c r="H27" s="17"/>
    </row>
    <row r="28" spans="1:8" x14ac:dyDescent="0.2">
      <c r="A28" s="10">
        <v>23</v>
      </c>
      <c r="B28" s="11" t="s">
        <v>335</v>
      </c>
      <c r="C28" s="11" t="s">
        <v>134</v>
      </c>
      <c r="D28" s="11" t="s">
        <v>235</v>
      </c>
      <c r="E28" s="12">
        <v>100</v>
      </c>
      <c r="F28" s="11" t="s">
        <v>304</v>
      </c>
      <c r="G28" s="11" t="s">
        <v>126</v>
      </c>
      <c r="H28" s="13"/>
    </row>
    <row r="29" spans="1:8" x14ac:dyDescent="0.2">
      <c r="A29" s="14">
        <v>24</v>
      </c>
      <c r="B29" s="15" t="s">
        <v>336</v>
      </c>
      <c r="C29" s="15" t="s">
        <v>125</v>
      </c>
      <c r="D29" s="15" t="s">
        <v>235</v>
      </c>
      <c r="E29" s="16">
        <v>97</v>
      </c>
      <c r="F29" s="15" t="s">
        <v>304</v>
      </c>
      <c r="G29" s="15" t="s">
        <v>126</v>
      </c>
      <c r="H29" s="17"/>
    </row>
    <row r="30" spans="1:8" x14ac:dyDescent="0.2">
      <c r="A30" s="10">
        <v>25</v>
      </c>
      <c r="B30" s="11" t="s">
        <v>337</v>
      </c>
      <c r="C30" s="11" t="s">
        <v>324</v>
      </c>
      <c r="D30" s="11" t="s">
        <v>235</v>
      </c>
      <c r="E30" s="12">
        <v>95</v>
      </c>
      <c r="F30" s="11" t="s">
        <v>304</v>
      </c>
      <c r="G30" s="11" t="s">
        <v>97</v>
      </c>
      <c r="H30" s="13"/>
    </row>
    <row r="31" spans="1:8" x14ac:dyDescent="0.2">
      <c r="A31" s="14">
        <v>26</v>
      </c>
      <c r="B31" s="15" t="s">
        <v>338</v>
      </c>
      <c r="C31" s="15" t="s">
        <v>158</v>
      </c>
      <c r="D31" s="15" t="s">
        <v>235</v>
      </c>
      <c r="E31" s="16">
        <v>90</v>
      </c>
      <c r="F31" s="15" t="s">
        <v>304</v>
      </c>
      <c r="G31" s="15" t="s">
        <v>97</v>
      </c>
      <c r="H31" s="17"/>
    </row>
    <row r="32" spans="1:8" x14ac:dyDescent="0.2">
      <c r="A32" s="10">
        <v>27</v>
      </c>
      <c r="B32" s="11" t="s">
        <v>339</v>
      </c>
      <c r="C32" s="11" t="s">
        <v>100</v>
      </c>
      <c r="D32" s="11" t="s">
        <v>235</v>
      </c>
      <c r="E32" s="12">
        <v>82</v>
      </c>
      <c r="F32" s="11" t="s">
        <v>304</v>
      </c>
      <c r="G32" s="11" t="s">
        <v>97</v>
      </c>
      <c r="H32" s="13"/>
    </row>
    <row r="33" spans="1:8" x14ac:dyDescent="0.2">
      <c r="A33" s="14">
        <v>28</v>
      </c>
      <c r="B33" s="15" t="s">
        <v>340</v>
      </c>
      <c r="C33" s="15" t="s">
        <v>341</v>
      </c>
      <c r="D33" s="15" t="s">
        <v>235</v>
      </c>
      <c r="E33" s="16">
        <v>76</v>
      </c>
      <c r="F33" s="15" t="s">
        <v>304</v>
      </c>
      <c r="G33" s="15" t="s">
        <v>126</v>
      </c>
      <c r="H33" s="17"/>
    </row>
    <row r="34" spans="1:8" x14ac:dyDescent="0.2">
      <c r="A34" s="10">
        <v>29</v>
      </c>
      <c r="B34" s="11" t="s">
        <v>342</v>
      </c>
      <c r="C34" s="11" t="s">
        <v>158</v>
      </c>
      <c r="D34" s="11" t="s">
        <v>235</v>
      </c>
      <c r="E34" s="12">
        <v>67</v>
      </c>
      <c r="F34" s="11" t="s">
        <v>304</v>
      </c>
      <c r="G34" s="11" t="s">
        <v>97</v>
      </c>
      <c r="H34" s="13"/>
    </row>
    <row r="35" spans="1:8" x14ac:dyDescent="0.2">
      <c r="A35" s="14">
        <v>30</v>
      </c>
      <c r="B35" s="15" t="s">
        <v>343</v>
      </c>
      <c r="C35" s="15" t="s">
        <v>125</v>
      </c>
      <c r="D35" s="15" t="s">
        <v>235</v>
      </c>
      <c r="E35" s="16">
        <v>60</v>
      </c>
      <c r="F35" s="15" t="s">
        <v>304</v>
      </c>
      <c r="G35" s="15" t="s">
        <v>126</v>
      </c>
      <c r="H35" s="17"/>
    </row>
    <row r="36" spans="1:8" x14ac:dyDescent="0.2">
      <c r="A36" s="10">
        <v>31</v>
      </c>
      <c r="B36" s="11" t="s">
        <v>344</v>
      </c>
      <c r="C36" s="11" t="s">
        <v>345</v>
      </c>
      <c r="D36" s="11" t="s">
        <v>235</v>
      </c>
      <c r="E36" s="12">
        <v>54</v>
      </c>
      <c r="F36" s="11" t="s">
        <v>304</v>
      </c>
      <c r="G36" s="11" t="s">
        <v>97</v>
      </c>
      <c r="H36" s="13"/>
    </row>
    <row r="37" spans="1:8" x14ac:dyDescent="0.2">
      <c r="A37" s="14">
        <v>32</v>
      </c>
      <c r="B37" s="15" t="s">
        <v>346</v>
      </c>
      <c r="C37" s="15" t="s">
        <v>95</v>
      </c>
      <c r="D37" s="15" t="s">
        <v>235</v>
      </c>
      <c r="E37" s="16">
        <v>42</v>
      </c>
      <c r="F37" s="15" t="s">
        <v>304</v>
      </c>
      <c r="G37" s="15" t="s">
        <v>97</v>
      </c>
      <c r="H37" s="17"/>
    </row>
    <row r="38" spans="1:8" x14ac:dyDescent="0.2">
      <c r="A38" s="10">
        <v>33</v>
      </c>
      <c r="B38" s="11" t="s">
        <v>347</v>
      </c>
      <c r="C38" s="11" t="s">
        <v>175</v>
      </c>
      <c r="D38" s="11" t="s">
        <v>235</v>
      </c>
      <c r="E38" s="12">
        <v>35</v>
      </c>
      <c r="F38" s="11" t="s">
        <v>304</v>
      </c>
      <c r="G38" s="11" t="s">
        <v>97</v>
      </c>
      <c r="H38" s="13"/>
    </row>
    <row r="39" spans="1:8" x14ac:dyDescent="0.2">
      <c r="A39" s="23" t="s">
        <v>348</v>
      </c>
      <c r="B39" s="24"/>
      <c r="C39" s="24"/>
      <c r="D39" s="24"/>
      <c r="E39" s="24"/>
      <c r="F39" s="24"/>
      <c r="G39" s="24"/>
      <c r="H39" s="24"/>
    </row>
    <row r="40" spans="1:8" x14ac:dyDescent="0.2">
      <c r="A40" s="10">
        <v>34</v>
      </c>
      <c r="B40" s="11" t="s">
        <v>349</v>
      </c>
      <c r="C40" s="11" t="s">
        <v>140</v>
      </c>
      <c r="D40" s="11" t="s">
        <v>237</v>
      </c>
      <c r="E40" s="12">
        <v>257</v>
      </c>
      <c r="F40" s="11" t="s">
        <v>319</v>
      </c>
      <c r="G40" s="11" t="s">
        <v>97</v>
      </c>
      <c r="H40" s="13" t="s">
        <v>350</v>
      </c>
    </row>
    <row r="41" spans="1:8" x14ac:dyDescent="0.2">
      <c r="A41" s="14">
        <v>35</v>
      </c>
      <c r="B41" s="15" t="s">
        <v>351</v>
      </c>
      <c r="C41" s="15" t="s">
        <v>95</v>
      </c>
      <c r="D41" s="15" t="s">
        <v>237</v>
      </c>
      <c r="E41" s="16">
        <v>201</v>
      </c>
      <c r="F41" s="15" t="s">
        <v>304</v>
      </c>
      <c r="G41" s="15" t="s">
        <v>97</v>
      </c>
      <c r="H41" s="17"/>
    </row>
    <row r="42" spans="1:8" x14ac:dyDescent="0.2">
      <c r="A42" s="10">
        <v>36</v>
      </c>
      <c r="B42" s="11" t="s">
        <v>352</v>
      </c>
      <c r="C42" s="11" t="s">
        <v>143</v>
      </c>
      <c r="D42" s="11" t="s">
        <v>237</v>
      </c>
      <c r="E42" s="12">
        <v>194</v>
      </c>
      <c r="F42" s="11" t="s">
        <v>319</v>
      </c>
      <c r="G42" s="11" t="s">
        <v>126</v>
      </c>
      <c r="H42" s="13" t="s">
        <v>353</v>
      </c>
    </row>
    <row r="43" spans="1:8" x14ac:dyDescent="0.2">
      <c r="A43" s="14">
        <v>37</v>
      </c>
      <c r="B43" s="15" t="s">
        <v>354</v>
      </c>
      <c r="C43" s="15" t="s">
        <v>312</v>
      </c>
      <c r="D43" s="15" t="s">
        <v>237</v>
      </c>
      <c r="E43" s="16">
        <v>187</v>
      </c>
      <c r="F43" s="15" t="s">
        <v>304</v>
      </c>
      <c r="G43" s="15" t="s">
        <v>313</v>
      </c>
      <c r="H43" s="17"/>
    </row>
    <row r="44" spans="1:8" x14ac:dyDescent="0.2">
      <c r="A44" s="10">
        <v>38</v>
      </c>
      <c r="B44" s="11" t="s">
        <v>355</v>
      </c>
      <c r="C44" s="11" t="s">
        <v>312</v>
      </c>
      <c r="D44" s="11" t="s">
        <v>237</v>
      </c>
      <c r="E44" s="12">
        <v>180</v>
      </c>
      <c r="F44" s="11" t="s">
        <v>304</v>
      </c>
      <c r="G44" s="11" t="s">
        <v>313</v>
      </c>
      <c r="H44" s="13"/>
    </row>
    <row r="45" spans="1:8" x14ac:dyDescent="0.2">
      <c r="A45" s="14">
        <v>39</v>
      </c>
      <c r="B45" s="15" t="s">
        <v>356</v>
      </c>
      <c r="C45" s="15" t="s">
        <v>106</v>
      </c>
      <c r="D45" s="15" t="s">
        <v>237</v>
      </c>
      <c r="E45" s="16">
        <v>166</v>
      </c>
      <c r="F45" s="15" t="s">
        <v>304</v>
      </c>
      <c r="G45" s="15" t="s">
        <v>97</v>
      </c>
      <c r="H45" s="17"/>
    </row>
    <row r="46" spans="1:8" x14ac:dyDescent="0.2">
      <c r="A46" s="10">
        <v>40</v>
      </c>
      <c r="B46" s="11" t="s">
        <v>357</v>
      </c>
      <c r="C46" s="11" t="s">
        <v>95</v>
      </c>
      <c r="D46" s="11" t="s">
        <v>237</v>
      </c>
      <c r="E46" s="12">
        <v>143</v>
      </c>
      <c r="F46" s="11" t="s">
        <v>304</v>
      </c>
      <c r="G46" s="11" t="s">
        <v>97</v>
      </c>
      <c r="H46" s="13"/>
    </row>
    <row r="47" spans="1:8" x14ac:dyDescent="0.2">
      <c r="A47" s="14">
        <v>41</v>
      </c>
      <c r="B47" s="15" t="s">
        <v>358</v>
      </c>
      <c r="C47" s="15" t="s">
        <v>158</v>
      </c>
      <c r="D47" s="15" t="s">
        <v>237</v>
      </c>
      <c r="E47" s="16">
        <v>140</v>
      </c>
      <c r="F47" s="15" t="s">
        <v>304</v>
      </c>
      <c r="G47" s="15" t="s">
        <v>97</v>
      </c>
      <c r="H47" s="17"/>
    </row>
    <row r="48" spans="1:8" x14ac:dyDescent="0.2">
      <c r="A48" s="10">
        <v>42</v>
      </c>
      <c r="B48" s="11" t="s">
        <v>359</v>
      </c>
      <c r="C48" s="11" t="s">
        <v>125</v>
      </c>
      <c r="D48" s="11" t="s">
        <v>237</v>
      </c>
      <c r="E48" s="12">
        <v>121</v>
      </c>
      <c r="F48" s="11" t="s">
        <v>304</v>
      </c>
      <c r="G48" s="11" t="s">
        <v>126</v>
      </c>
      <c r="H48" s="13"/>
    </row>
    <row r="49" spans="1:8" x14ac:dyDescent="0.2">
      <c r="A49" s="14">
        <v>43</v>
      </c>
      <c r="B49" s="15" t="s">
        <v>360</v>
      </c>
      <c r="C49" s="15" t="s">
        <v>361</v>
      </c>
      <c r="D49" s="15" t="s">
        <v>237</v>
      </c>
      <c r="E49" s="16">
        <v>120</v>
      </c>
      <c r="F49" s="15" t="s">
        <v>304</v>
      </c>
      <c r="G49" s="15" t="s">
        <v>97</v>
      </c>
      <c r="H49" s="17"/>
    </row>
    <row r="50" spans="1:8" x14ac:dyDescent="0.2">
      <c r="A50" s="10">
        <v>44</v>
      </c>
      <c r="B50" s="11" t="s">
        <v>362</v>
      </c>
      <c r="C50" s="11" t="s">
        <v>161</v>
      </c>
      <c r="D50" s="11" t="s">
        <v>237</v>
      </c>
      <c r="E50" s="12">
        <v>120</v>
      </c>
      <c r="F50" s="11" t="s">
        <v>304</v>
      </c>
      <c r="G50" s="11" t="s">
        <v>97</v>
      </c>
      <c r="H50" s="13"/>
    </row>
    <row r="51" spans="1:8" x14ac:dyDescent="0.2">
      <c r="A51" s="14">
        <v>45</v>
      </c>
      <c r="B51" s="15" t="s">
        <v>363</v>
      </c>
      <c r="C51" s="15" t="s">
        <v>175</v>
      </c>
      <c r="D51" s="15" t="s">
        <v>237</v>
      </c>
      <c r="E51" s="16">
        <v>120</v>
      </c>
      <c r="F51" s="15" t="s">
        <v>304</v>
      </c>
      <c r="G51" s="15" t="s">
        <v>97</v>
      </c>
      <c r="H51" s="17"/>
    </row>
    <row r="52" spans="1:8" x14ac:dyDescent="0.2">
      <c r="A52" s="10">
        <v>46</v>
      </c>
      <c r="B52" s="11" t="s">
        <v>364</v>
      </c>
      <c r="C52" s="11" t="s">
        <v>178</v>
      </c>
      <c r="D52" s="11" t="s">
        <v>237</v>
      </c>
      <c r="E52" s="12">
        <v>120</v>
      </c>
      <c r="F52" s="11" t="s">
        <v>304</v>
      </c>
      <c r="G52" s="11" t="s">
        <v>97</v>
      </c>
      <c r="H52" s="13"/>
    </row>
    <row r="53" spans="1:8" x14ac:dyDescent="0.2">
      <c r="A53" s="14">
        <v>47</v>
      </c>
      <c r="B53" s="15" t="s">
        <v>365</v>
      </c>
      <c r="C53" s="15" t="s">
        <v>366</v>
      </c>
      <c r="D53" s="15" t="s">
        <v>237</v>
      </c>
      <c r="E53" s="16">
        <v>120</v>
      </c>
      <c r="F53" s="15" t="s">
        <v>304</v>
      </c>
      <c r="G53" s="15" t="s">
        <v>313</v>
      </c>
      <c r="H53" s="17"/>
    </row>
    <row r="54" spans="1:8" x14ac:dyDescent="0.2">
      <c r="A54" s="10">
        <v>48</v>
      </c>
      <c r="B54" s="11" t="s">
        <v>367</v>
      </c>
      <c r="C54" s="11" t="s">
        <v>106</v>
      </c>
      <c r="D54" s="11" t="s">
        <v>237</v>
      </c>
      <c r="E54" s="12">
        <v>120</v>
      </c>
      <c r="F54" s="11" t="s">
        <v>368</v>
      </c>
      <c r="G54" s="11" t="s">
        <v>97</v>
      </c>
      <c r="H54" s="13"/>
    </row>
    <row r="55" spans="1:8" x14ac:dyDescent="0.2">
      <c r="A55" s="14">
        <v>49</v>
      </c>
      <c r="B55" s="15" t="s">
        <v>369</v>
      </c>
      <c r="C55" s="15" t="s">
        <v>95</v>
      </c>
      <c r="D55" s="15" t="s">
        <v>237</v>
      </c>
      <c r="E55" s="16">
        <v>118</v>
      </c>
      <c r="F55" s="15" t="s">
        <v>304</v>
      </c>
      <c r="G55" s="15" t="s">
        <v>97</v>
      </c>
      <c r="H55" s="17"/>
    </row>
    <row r="56" spans="1:8" x14ac:dyDescent="0.2">
      <c r="A56" s="10">
        <v>50</v>
      </c>
      <c r="B56" s="11" t="s">
        <v>370</v>
      </c>
      <c r="C56" s="11" t="s">
        <v>371</v>
      </c>
      <c r="D56" s="11" t="s">
        <v>237</v>
      </c>
      <c r="E56" s="12">
        <v>112</v>
      </c>
      <c r="F56" s="11" t="s">
        <v>304</v>
      </c>
      <c r="G56" s="11" t="s">
        <v>313</v>
      </c>
      <c r="H56" s="13"/>
    </row>
    <row r="57" spans="1:8" x14ac:dyDescent="0.2">
      <c r="A57" s="14">
        <v>51</v>
      </c>
      <c r="B57" s="15" t="s">
        <v>372</v>
      </c>
      <c r="C57" s="15" t="s">
        <v>158</v>
      </c>
      <c r="D57" s="15" t="s">
        <v>237</v>
      </c>
      <c r="E57" s="16">
        <v>110</v>
      </c>
      <c r="F57" s="15" t="s">
        <v>304</v>
      </c>
      <c r="G57" s="15" t="s">
        <v>97</v>
      </c>
      <c r="H57" s="17"/>
    </row>
    <row r="58" spans="1:8" x14ac:dyDescent="0.2">
      <c r="A58" s="10">
        <v>52</v>
      </c>
      <c r="B58" s="11" t="s">
        <v>373</v>
      </c>
      <c r="C58" s="11" t="s">
        <v>374</v>
      </c>
      <c r="D58" s="11" t="s">
        <v>237</v>
      </c>
      <c r="E58" s="12">
        <v>90</v>
      </c>
      <c r="F58" s="11" t="s">
        <v>304</v>
      </c>
      <c r="G58" s="11" t="s">
        <v>313</v>
      </c>
      <c r="H58" s="13"/>
    </row>
    <row r="59" spans="1:8" x14ac:dyDescent="0.2">
      <c r="A59" s="14">
        <v>53</v>
      </c>
      <c r="B59" s="15" t="s">
        <v>375</v>
      </c>
      <c r="C59" s="15" t="s">
        <v>376</v>
      </c>
      <c r="D59" s="15" t="s">
        <v>237</v>
      </c>
      <c r="E59" s="16">
        <v>70</v>
      </c>
      <c r="F59" s="15" t="s">
        <v>304</v>
      </c>
      <c r="G59" s="15" t="s">
        <v>313</v>
      </c>
      <c r="H59" s="17"/>
    </row>
    <row r="60" spans="1:8" x14ac:dyDescent="0.2">
      <c r="A60" s="10">
        <v>54</v>
      </c>
      <c r="B60" s="11" t="s">
        <v>377</v>
      </c>
      <c r="C60" s="11" t="s">
        <v>376</v>
      </c>
      <c r="D60" s="11" t="s">
        <v>237</v>
      </c>
      <c r="E60" s="12">
        <v>60</v>
      </c>
      <c r="F60" s="11" t="s">
        <v>304</v>
      </c>
      <c r="G60" s="11" t="s">
        <v>313</v>
      </c>
      <c r="H60" s="13"/>
    </row>
    <row r="61" spans="1:8" x14ac:dyDescent="0.2">
      <c r="A61" s="14">
        <v>55</v>
      </c>
      <c r="B61" s="15" t="s">
        <v>378</v>
      </c>
      <c r="C61" s="15" t="s">
        <v>379</v>
      </c>
      <c r="D61" s="15" t="s">
        <v>237</v>
      </c>
      <c r="E61" s="16">
        <v>60</v>
      </c>
      <c r="F61" s="15" t="s">
        <v>304</v>
      </c>
      <c r="G61" s="15" t="s">
        <v>313</v>
      </c>
      <c r="H61" s="17"/>
    </row>
    <row r="62" spans="1:8" x14ac:dyDescent="0.2">
      <c r="A62" s="23" t="s">
        <v>380</v>
      </c>
      <c r="B62" s="24"/>
      <c r="C62" s="24"/>
      <c r="D62" s="24"/>
      <c r="E62" s="24"/>
      <c r="F62" s="24"/>
      <c r="G62" s="24"/>
      <c r="H62" s="24"/>
    </row>
    <row r="63" spans="1:8" x14ac:dyDescent="0.2">
      <c r="A63" s="10">
        <v>56</v>
      </c>
      <c r="B63" s="11" t="s">
        <v>381</v>
      </c>
      <c r="C63" s="11" t="s">
        <v>112</v>
      </c>
      <c r="D63" s="11" t="s">
        <v>239</v>
      </c>
      <c r="E63" s="12">
        <v>242</v>
      </c>
      <c r="F63" s="11" t="s">
        <v>304</v>
      </c>
      <c r="G63" s="11" t="s">
        <v>97</v>
      </c>
      <c r="H63" s="13"/>
    </row>
    <row r="64" spans="1:8" x14ac:dyDescent="0.2">
      <c r="A64" s="14">
        <v>57</v>
      </c>
      <c r="B64" s="15" t="s">
        <v>382</v>
      </c>
      <c r="C64" s="15" t="s">
        <v>125</v>
      </c>
      <c r="D64" s="15" t="s">
        <v>239</v>
      </c>
      <c r="E64" s="16">
        <v>210</v>
      </c>
      <c r="F64" s="15" t="s">
        <v>304</v>
      </c>
      <c r="G64" s="15" t="s">
        <v>126</v>
      </c>
      <c r="H64" s="17"/>
    </row>
    <row r="65" spans="1:8" x14ac:dyDescent="0.2">
      <c r="A65" s="10">
        <v>58</v>
      </c>
      <c r="B65" s="11" t="s">
        <v>383</v>
      </c>
      <c r="C65" s="11" t="s">
        <v>125</v>
      </c>
      <c r="D65" s="11" t="s">
        <v>239</v>
      </c>
      <c r="E65" s="12">
        <v>180</v>
      </c>
      <c r="F65" s="11" t="s">
        <v>304</v>
      </c>
      <c r="G65" s="11" t="s">
        <v>126</v>
      </c>
      <c r="H65" s="13"/>
    </row>
    <row r="66" spans="1:8" x14ac:dyDescent="0.2">
      <c r="A66" s="14">
        <v>59</v>
      </c>
      <c r="B66" s="15" t="s">
        <v>384</v>
      </c>
      <c r="C66" s="15" t="s">
        <v>217</v>
      </c>
      <c r="D66" s="15" t="s">
        <v>239</v>
      </c>
      <c r="E66" s="16">
        <v>162</v>
      </c>
      <c r="F66" s="15" t="s">
        <v>304</v>
      </c>
      <c r="G66" s="15" t="s">
        <v>97</v>
      </c>
      <c r="H66" s="17"/>
    </row>
    <row r="67" spans="1:8" x14ac:dyDescent="0.2">
      <c r="A67" s="10">
        <v>60</v>
      </c>
      <c r="B67" s="11" t="s">
        <v>385</v>
      </c>
      <c r="C67" s="11" t="s">
        <v>95</v>
      </c>
      <c r="D67" s="11" t="s">
        <v>239</v>
      </c>
      <c r="E67" s="12">
        <v>162</v>
      </c>
      <c r="F67" s="11" t="s">
        <v>304</v>
      </c>
      <c r="G67" s="11" t="s">
        <v>97</v>
      </c>
      <c r="H67" s="13"/>
    </row>
    <row r="68" spans="1:8" x14ac:dyDescent="0.2">
      <c r="A68" s="14">
        <v>61</v>
      </c>
      <c r="B68" s="15" t="s">
        <v>386</v>
      </c>
      <c r="C68" s="15" t="s">
        <v>217</v>
      </c>
      <c r="D68" s="15" t="s">
        <v>239</v>
      </c>
      <c r="E68" s="16">
        <v>150</v>
      </c>
      <c r="F68" s="15" t="s">
        <v>304</v>
      </c>
      <c r="G68" s="15" t="s">
        <v>97</v>
      </c>
      <c r="H68" s="17"/>
    </row>
    <row r="69" spans="1:8" x14ac:dyDescent="0.2">
      <c r="A69" s="10">
        <v>62</v>
      </c>
      <c r="B69" s="11" t="s">
        <v>387</v>
      </c>
      <c r="C69" s="11" t="s">
        <v>312</v>
      </c>
      <c r="D69" s="11" t="s">
        <v>239</v>
      </c>
      <c r="E69" s="12">
        <v>146</v>
      </c>
      <c r="F69" s="11" t="s">
        <v>304</v>
      </c>
      <c r="G69" s="11" t="s">
        <v>313</v>
      </c>
      <c r="H69" s="13"/>
    </row>
    <row r="70" spans="1:8" x14ac:dyDescent="0.2">
      <c r="A70" s="14">
        <v>63</v>
      </c>
      <c r="B70" s="15" t="s">
        <v>388</v>
      </c>
      <c r="C70" s="15" t="s">
        <v>190</v>
      </c>
      <c r="D70" s="15" t="s">
        <v>239</v>
      </c>
      <c r="E70" s="16">
        <v>130</v>
      </c>
      <c r="F70" s="15" t="s">
        <v>319</v>
      </c>
      <c r="G70" s="15" t="s">
        <v>97</v>
      </c>
      <c r="H70" s="17" t="s">
        <v>389</v>
      </c>
    </row>
    <row r="71" spans="1:8" x14ac:dyDescent="0.2">
      <c r="A71" s="10">
        <v>64</v>
      </c>
      <c r="B71" s="11" t="s">
        <v>390</v>
      </c>
      <c r="C71" s="11" t="s">
        <v>95</v>
      </c>
      <c r="D71" s="11" t="s">
        <v>239</v>
      </c>
      <c r="E71" s="12">
        <v>125</v>
      </c>
      <c r="F71" s="11" t="s">
        <v>304</v>
      </c>
      <c r="G71" s="11" t="s">
        <v>97</v>
      </c>
      <c r="H71" s="13"/>
    </row>
    <row r="72" spans="1:8" x14ac:dyDescent="0.2">
      <c r="A72" s="14">
        <v>65</v>
      </c>
      <c r="B72" s="15" t="s">
        <v>391</v>
      </c>
      <c r="C72" s="15" t="s">
        <v>95</v>
      </c>
      <c r="D72" s="15" t="s">
        <v>239</v>
      </c>
      <c r="E72" s="16">
        <v>110</v>
      </c>
      <c r="F72" s="15" t="s">
        <v>304</v>
      </c>
      <c r="G72" s="15" t="s">
        <v>97</v>
      </c>
      <c r="H72" s="17"/>
    </row>
    <row r="73" spans="1:8" x14ac:dyDescent="0.2">
      <c r="A73" s="10">
        <v>66</v>
      </c>
      <c r="B73" s="11" t="s">
        <v>392</v>
      </c>
      <c r="C73" s="11" t="s">
        <v>158</v>
      </c>
      <c r="D73" s="11" t="s">
        <v>239</v>
      </c>
      <c r="E73" s="12">
        <v>108</v>
      </c>
      <c r="F73" s="11" t="s">
        <v>304</v>
      </c>
      <c r="G73" s="11" t="s">
        <v>97</v>
      </c>
      <c r="H73" s="13"/>
    </row>
    <row r="74" spans="1:8" x14ac:dyDescent="0.2">
      <c r="A74" s="14">
        <v>67</v>
      </c>
      <c r="B74" s="15" t="s">
        <v>393</v>
      </c>
      <c r="C74" s="15" t="s">
        <v>196</v>
      </c>
      <c r="D74" s="15" t="s">
        <v>239</v>
      </c>
      <c r="E74" s="16">
        <v>105</v>
      </c>
      <c r="F74" s="15" t="s">
        <v>304</v>
      </c>
      <c r="G74" s="15" t="s">
        <v>97</v>
      </c>
      <c r="H74" s="17"/>
    </row>
    <row r="75" spans="1:8" x14ac:dyDescent="0.2">
      <c r="A75" s="10">
        <v>68</v>
      </c>
      <c r="B75" s="11" t="s">
        <v>394</v>
      </c>
      <c r="C75" s="11" t="s">
        <v>158</v>
      </c>
      <c r="D75" s="11" t="s">
        <v>239</v>
      </c>
      <c r="E75" s="12">
        <v>102</v>
      </c>
      <c r="F75" s="11" t="s">
        <v>304</v>
      </c>
      <c r="G75" s="11" t="s">
        <v>97</v>
      </c>
      <c r="H75" s="13"/>
    </row>
    <row r="76" spans="1:8" x14ac:dyDescent="0.2">
      <c r="A76" s="14">
        <v>69</v>
      </c>
      <c r="B76" s="15" t="s">
        <v>395</v>
      </c>
      <c r="C76" s="15" t="s">
        <v>396</v>
      </c>
      <c r="D76" s="15" t="s">
        <v>239</v>
      </c>
      <c r="E76" s="16">
        <v>89</v>
      </c>
      <c r="F76" s="15" t="s">
        <v>304</v>
      </c>
      <c r="G76" s="15" t="s">
        <v>313</v>
      </c>
      <c r="H76" s="17"/>
    </row>
    <row r="77" spans="1:8" x14ac:dyDescent="0.2">
      <c r="A77" s="10">
        <v>70</v>
      </c>
      <c r="B77" s="11" t="s">
        <v>397</v>
      </c>
      <c r="C77" s="11" t="s">
        <v>95</v>
      </c>
      <c r="D77" s="11" t="s">
        <v>239</v>
      </c>
      <c r="E77" s="12">
        <v>88</v>
      </c>
      <c r="F77" s="11" t="s">
        <v>304</v>
      </c>
      <c r="G77" s="11" t="s">
        <v>97</v>
      </c>
      <c r="H77" s="13"/>
    </row>
    <row r="78" spans="1:8" x14ac:dyDescent="0.2">
      <c r="A78" s="14">
        <v>71</v>
      </c>
      <c r="B78" s="15" t="s">
        <v>398</v>
      </c>
      <c r="C78" s="15" t="s">
        <v>95</v>
      </c>
      <c r="D78" s="15" t="s">
        <v>239</v>
      </c>
      <c r="E78" s="16">
        <v>85</v>
      </c>
      <c r="F78" s="15" t="s">
        <v>304</v>
      </c>
      <c r="G78" s="15" t="s">
        <v>97</v>
      </c>
      <c r="H78" s="17"/>
    </row>
    <row r="79" spans="1:8" x14ac:dyDescent="0.2">
      <c r="A79" s="10">
        <v>72</v>
      </c>
      <c r="B79" s="11" t="s">
        <v>399</v>
      </c>
      <c r="C79" s="11" t="s">
        <v>193</v>
      </c>
      <c r="D79" s="11" t="s">
        <v>239</v>
      </c>
      <c r="E79" s="12">
        <v>78</v>
      </c>
      <c r="F79" s="11" t="s">
        <v>304</v>
      </c>
      <c r="G79" s="11" t="s">
        <v>97</v>
      </c>
      <c r="H79" s="13"/>
    </row>
    <row r="80" spans="1:8" x14ac:dyDescent="0.2">
      <c r="A80" s="14">
        <v>73</v>
      </c>
      <c r="B80" s="15" t="s">
        <v>400</v>
      </c>
      <c r="C80" s="15" t="s">
        <v>396</v>
      </c>
      <c r="D80" s="15" t="s">
        <v>239</v>
      </c>
      <c r="E80" s="16">
        <v>70</v>
      </c>
      <c r="F80" s="15" t="s">
        <v>304</v>
      </c>
      <c r="G80" s="15" t="s">
        <v>313</v>
      </c>
      <c r="H80" s="17"/>
    </row>
    <row r="81" spans="1:8" x14ac:dyDescent="0.2">
      <c r="A81" s="10">
        <v>74</v>
      </c>
      <c r="B81" s="11" t="s">
        <v>401</v>
      </c>
      <c r="C81" s="11" t="s">
        <v>95</v>
      </c>
      <c r="D81" s="11" t="s">
        <v>239</v>
      </c>
      <c r="E81" s="12">
        <v>67</v>
      </c>
      <c r="F81" s="11" t="s">
        <v>304</v>
      </c>
      <c r="G81" s="11" t="s">
        <v>97</v>
      </c>
      <c r="H81" s="13"/>
    </row>
    <row r="82" spans="1:8" x14ac:dyDescent="0.2">
      <c r="A82" s="23" t="s">
        <v>402</v>
      </c>
      <c r="B82" s="24"/>
      <c r="C82" s="24"/>
      <c r="D82" s="24"/>
      <c r="E82" s="24"/>
      <c r="F82" s="24"/>
      <c r="G82" s="24"/>
      <c r="H82" s="24"/>
    </row>
    <row r="83" spans="1:8" x14ac:dyDescent="0.2">
      <c r="A83" s="10">
        <v>75</v>
      </c>
      <c r="B83" s="11" t="s">
        <v>403</v>
      </c>
      <c r="C83" s="11" t="s">
        <v>158</v>
      </c>
      <c r="D83" s="11" t="s">
        <v>241</v>
      </c>
      <c r="E83" s="12">
        <v>125</v>
      </c>
      <c r="F83" s="11" t="s">
        <v>304</v>
      </c>
      <c r="G83" s="11" t="s">
        <v>97</v>
      </c>
      <c r="H83" s="13" t="s">
        <v>404</v>
      </c>
    </row>
    <row r="84" spans="1:8" x14ac:dyDescent="0.2">
      <c r="A84" s="14">
        <v>76</v>
      </c>
      <c r="B84" s="15" t="s">
        <v>405</v>
      </c>
      <c r="C84" s="15" t="s">
        <v>345</v>
      </c>
      <c r="D84" s="15" t="s">
        <v>241</v>
      </c>
      <c r="E84" s="16">
        <v>110</v>
      </c>
      <c r="F84" s="15" t="s">
        <v>304</v>
      </c>
      <c r="G84" s="15" t="s">
        <v>97</v>
      </c>
      <c r="H84" s="17" t="s">
        <v>404</v>
      </c>
    </row>
    <row r="85" spans="1:8" x14ac:dyDescent="0.2">
      <c r="A85" s="10">
        <v>77</v>
      </c>
      <c r="B85" s="11" t="s">
        <v>406</v>
      </c>
      <c r="C85" s="11" t="s">
        <v>158</v>
      </c>
      <c r="D85" s="11" t="s">
        <v>241</v>
      </c>
      <c r="E85" s="12">
        <v>110</v>
      </c>
      <c r="F85" s="11" t="s">
        <v>304</v>
      </c>
      <c r="G85" s="11" t="s">
        <v>97</v>
      </c>
      <c r="H85" s="13"/>
    </row>
    <row r="86" spans="1:8" x14ac:dyDescent="0.2">
      <c r="A86" s="14">
        <v>78</v>
      </c>
      <c r="B86" s="15" t="s">
        <v>407</v>
      </c>
      <c r="C86" s="15" t="s">
        <v>95</v>
      </c>
      <c r="D86" s="15" t="s">
        <v>241</v>
      </c>
      <c r="E86" s="16">
        <v>108</v>
      </c>
      <c r="F86" s="15" t="s">
        <v>304</v>
      </c>
      <c r="G86" s="15" t="s">
        <v>97</v>
      </c>
      <c r="H86" s="17" t="s">
        <v>404</v>
      </c>
    </row>
    <row r="87" spans="1:8" x14ac:dyDescent="0.2">
      <c r="A87" s="10">
        <v>79</v>
      </c>
      <c r="B87" s="11" t="s">
        <v>408</v>
      </c>
      <c r="C87" s="11" t="s">
        <v>106</v>
      </c>
      <c r="D87" s="11" t="s">
        <v>241</v>
      </c>
      <c r="E87" s="12">
        <v>105</v>
      </c>
      <c r="F87" s="11" t="s">
        <v>304</v>
      </c>
      <c r="G87" s="11" t="s">
        <v>97</v>
      </c>
      <c r="H87" s="13" t="s">
        <v>404</v>
      </c>
    </row>
    <row r="88" spans="1:8" x14ac:dyDescent="0.2">
      <c r="A88" s="14">
        <v>80</v>
      </c>
      <c r="B88" s="15" t="s">
        <v>409</v>
      </c>
      <c r="C88" s="15" t="s">
        <v>112</v>
      </c>
      <c r="D88" s="15" t="s">
        <v>241</v>
      </c>
      <c r="E88" s="16">
        <v>101</v>
      </c>
      <c r="F88" s="15" t="s">
        <v>304</v>
      </c>
      <c r="G88" s="15" t="s">
        <v>97</v>
      </c>
      <c r="H88" s="17" t="s">
        <v>404</v>
      </c>
    </row>
    <row r="89" spans="1:8" x14ac:dyDescent="0.2">
      <c r="A89" s="10">
        <v>81</v>
      </c>
      <c r="B89" s="11" t="s">
        <v>410</v>
      </c>
      <c r="C89" s="11" t="s">
        <v>106</v>
      </c>
      <c r="D89" s="11" t="s">
        <v>241</v>
      </c>
      <c r="E89" s="12">
        <v>100</v>
      </c>
      <c r="F89" s="11" t="s">
        <v>304</v>
      </c>
      <c r="G89" s="11" t="s">
        <v>97</v>
      </c>
      <c r="H89" s="13"/>
    </row>
    <row r="90" spans="1:8" x14ac:dyDescent="0.2">
      <c r="A90" s="14">
        <v>82</v>
      </c>
      <c r="B90" s="15" t="s">
        <v>411</v>
      </c>
      <c r="C90" s="15" t="s">
        <v>412</v>
      </c>
      <c r="D90" s="15" t="s">
        <v>241</v>
      </c>
      <c r="E90" s="16">
        <v>88</v>
      </c>
      <c r="F90" s="15" t="s">
        <v>304</v>
      </c>
      <c r="G90" s="15" t="s">
        <v>313</v>
      </c>
      <c r="H90" s="17"/>
    </row>
    <row r="91" spans="1:8" x14ac:dyDescent="0.2">
      <c r="A91" s="10">
        <v>83</v>
      </c>
      <c r="B91" s="11" t="s">
        <v>413</v>
      </c>
      <c r="C91" s="11" t="s">
        <v>158</v>
      </c>
      <c r="D91" s="11" t="s">
        <v>241</v>
      </c>
      <c r="E91" s="12">
        <v>85</v>
      </c>
      <c r="F91" s="11" t="s">
        <v>304</v>
      </c>
      <c r="G91" s="11" t="s">
        <v>97</v>
      </c>
      <c r="H91" s="13" t="s">
        <v>404</v>
      </c>
    </row>
    <row r="92" spans="1:8" x14ac:dyDescent="0.2">
      <c r="A92" s="14">
        <v>84</v>
      </c>
      <c r="B92" s="15" t="s">
        <v>414</v>
      </c>
      <c r="C92" s="15" t="s">
        <v>415</v>
      </c>
      <c r="D92" s="15" t="s">
        <v>241</v>
      </c>
      <c r="E92" s="16">
        <v>84</v>
      </c>
      <c r="F92" s="15" t="s">
        <v>304</v>
      </c>
      <c r="G92" s="15" t="s">
        <v>313</v>
      </c>
      <c r="H92" s="17" t="s">
        <v>404</v>
      </c>
    </row>
    <row r="93" spans="1:8" x14ac:dyDescent="0.2">
      <c r="A93" s="10">
        <v>85</v>
      </c>
      <c r="B93" s="11" t="s">
        <v>416</v>
      </c>
      <c r="C93" s="11" t="s">
        <v>95</v>
      </c>
      <c r="D93" s="11" t="s">
        <v>241</v>
      </c>
      <c r="E93" s="12">
        <v>82</v>
      </c>
      <c r="F93" s="11" t="s">
        <v>304</v>
      </c>
      <c r="G93" s="11" t="s">
        <v>97</v>
      </c>
      <c r="H93" s="13"/>
    </row>
    <row r="94" spans="1:8" x14ac:dyDescent="0.2">
      <c r="A94" s="14">
        <v>86</v>
      </c>
      <c r="B94" s="15" t="s">
        <v>417</v>
      </c>
      <c r="C94" s="15" t="s">
        <v>418</v>
      </c>
      <c r="D94" s="15" t="s">
        <v>241</v>
      </c>
      <c r="E94" s="16">
        <v>82</v>
      </c>
      <c r="F94" s="15" t="s">
        <v>304</v>
      </c>
      <c r="G94" s="15" t="s">
        <v>313</v>
      </c>
      <c r="H94" s="17"/>
    </row>
    <row r="95" spans="1:8" x14ac:dyDescent="0.2">
      <c r="A95" s="10">
        <v>87</v>
      </c>
      <c r="B95" s="11" t="s">
        <v>419</v>
      </c>
      <c r="C95" s="11" t="s">
        <v>100</v>
      </c>
      <c r="D95" s="11" t="s">
        <v>241</v>
      </c>
      <c r="E95" s="12">
        <v>81</v>
      </c>
      <c r="F95" s="11" t="s">
        <v>304</v>
      </c>
      <c r="G95" s="11" t="s">
        <v>97</v>
      </c>
      <c r="H95" s="13"/>
    </row>
    <row r="96" spans="1:8" x14ac:dyDescent="0.2">
      <c r="A96" s="14">
        <v>88</v>
      </c>
      <c r="B96" s="15" t="s">
        <v>420</v>
      </c>
      <c r="C96" s="15" t="s">
        <v>161</v>
      </c>
      <c r="D96" s="15" t="s">
        <v>241</v>
      </c>
      <c r="E96" s="16">
        <v>80</v>
      </c>
      <c r="F96" s="15" t="s">
        <v>304</v>
      </c>
      <c r="G96" s="15" t="s">
        <v>97</v>
      </c>
      <c r="H96" s="17"/>
    </row>
    <row r="97" spans="1:8" x14ac:dyDescent="0.2">
      <c r="A97" s="10">
        <v>89</v>
      </c>
      <c r="B97" s="11" t="s">
        <v>421</v>
      </c>
      <c r="C97" s="11" t="s">
        <v>95</v>
      </c>
      <c r="D97" s="11" t="s">
        <v>241</v>
      </c>
      <c r="E97" s="12">
        <v>79</v>
      </c>
      <c r="F97" s="11" t="s">
        <v>304</v>
      </c>
      <c r="G97" s="11" t="s">
        <v>97</v>
      </c>
      <c r="H97" s="13"/>
    </row>
    <row r="98" spans="1:8" x14ac:dyDescent="0.2">
      <c r="A98" s="14">
        <v>90</v>
      </c>
      <c r="B98" s="15" t="s">
        <v>422</v>
      </c>
      <c r="C98" s="15" t="s">
        <v>423</v>
      </c>
      <c r="D98" s="15" t="s">
        <v>241</v>
      </c>
      <c r="E98" s="16">
        <v>74</v>
      </c>
      <c r="F98" s="15" t="s">
        <v>304</v>
      </c>
      <c r="G98" s="15" t="s">
        <v>313</v>
      </c>
      <c r="H98" s="17"/>
    </row>
    <row r="99" spans="1:8" x14ac:dyDescent="0.2">
      <c r="A99" s="10">
        <v>91</v>
      </c>
      <c r="B99" s="11" t="s">
        <v>424</v>
      </c>
      <c r="C99" s="11" t="s">
        <v>95</v>
      </c>
      <c r="D99" s="11" t="s">
        <v>241</v>
      </c>
      <c r="E99" s="12">
        <v>73</v>
      </c>
      <c r="F99" s="11" t="s">
        <v>304</v>
      </c>
      <c r="G99" s="11" t="s">
        <v>97</v>
      </c>
      <c r="H99" s="13" t="s">
        <v>404</v>
      </c>
    </row>
    <row r="100" spans="1:8" x14ac:dyDescent="0.2">
      <c r="A100" s="14">
        <v>92</v>
      </c>
      <c r="B100" s="15" t="s">
        <v>425</v>
      </c>
      <c r="C100" s="15" t="s">
        <v>95</v>
      </c>
      <c r="D100" s="15" t="s">
        <v>241</v>
      </c>
      <c r="E100" s="16">
        <v>65</v>
      </c>
      <c r="F100" s="15" t="s">
        <v>304</v>
      </c>
      <c r="G100" s="15" t="s">
        <v>97</v>
      </c>
      <c r="H100" s="17"/>
    </row>
    <row r="101" spans="1:8" x14ac:dyDescent="0.2">
      <c r="A101" s="10">
        <v>93</v>
      </c>
      <c r="B101" s="11" t="s">
        <v>426</v>
      </c>
      <c r="C101" s="11" t="s">
        <v>193</v>
      </c>
      <c r="D101" s="11" t="s">
        <v>241</v>
      </c>
      <c r="E101" s="12">
        <v>65</v>
      </c>
      <c r="F101" s="11" t="s">
        <v>304</v>
      </c>
      <c r="G101" s="11" t="s">
        <v>97</v>
      </c>
      <c r="H101" s="13"/>
    </row>
    <row r="102" spans="1:8" x14ac:dyDescent="0.2">
      <c r="A102" s="14">
        <v>94</v>
      </c>
      <c r="B102" s="15" t="s">
        <v>427</v>
      </c>
      <c r="C102" s="15" t="s">
        <v>379</v>
      </c>
      <c r="D102" s="15" t="s">
        <v>241</v>
      </c>
      <c r="E102" s="16">
        <v>60</v>
      </c>
      <c r="F102" s="15" t="s">
        <v>304</v>
      </c>
      <c r="G102" s="15" t="s">
        <v>313</v>
      </c>
      <c r="H102" s="17"/>
    </row>
    <row r="103" spans="1:8" x14ac:dyDescent="0.2">
      <c r="A103" s="10">
        <v>95</v>
      </c>
      <c r="B103" s="11" t="s">
        <v>428</v>
      </c>
      <c r="C103" s="11" t="s">
        <v>429</v>
      </c>
      <c r="D103" s="11" t="s">
        <v>241</v>
      </c>
      <c r="E103" s="12">
        <v>56</v>
      </c>
      <c r="F103" s="11" t="s">
        <v>304</v>
      </c>
      <c r="G103" s="11" t="s">
        <v>313</v>
      </c>
      <c r="H103" s="13"/>
    </row>
    <row r="104" spans="1:8" x14ac:dyDescent="0.2">
      <c r="A104" s="14">
        <v>96</v>
      </c>
      <c r="B104" s="15" t="s">
        <v>430</v>
      </c>
      <c r="C104" s="15" t="s">
        <v>431</v>
      </c>
      <c r="D104" s="15" t="s">
        <v>241</v>
      </c>
      <c r="E104" s="16">
        <v>51</v>
      </c>
      <c r="F104" s="15" t="s">
        <v>304</v>
      </c>
      <c r="G104" s="15" t="s">
        <v>313</v>
      </c>
      <c r="H104" s="17"/>
    </row>
    <row r="105" spans="1:8" x14ac:dyDescent="0.2">
      <c r="A105" s="10">
        <v>97</v>
      </c>
      <c r="B105" s="11" t="s">
        <v>432</v>
      </c>
      <c r="C105" s="11" t="s">
        <v>433</v>
      </c>
      <c r="D105" s="11" t="s">
        <v>241</v>
      </c>
      <c r="E105" s="12">
        <v>45</v>
      </c>
      <c r="F105" s="11" t="s">
        <v>304</v>
      </c>
      <c r="G105" s="11" t="s">
        <v>313</v>
      </c>
      <c r="H105" s="13"/>
    </row>
    <row r="106" spans="1:8" x14ac:dyDescent="0.2">
      <c r="A106" s="23" t="s">
        <v>434</v>
      </c>
      <c r="B106" s="24"/>
      <c r="C106" s="24"/>
      <c r="D106" s="24"/>
      <c r="E106" s="24"/>
      <c r="F106" s="24"/>
      <c r="G106" s="24"/>
      <c r="H106" s="24"/>
    </row>
    <row r="107" spans="1:8" x14ac:dyDescent="0.2">
      <c r="A107" s="10">
        <v>98</v>
      </c>
      <c r="B107" s="11" t="s">
        <v>435</v>
      </c>
      <c r="C107" s="11" t="s">
        <v>158</v>
      </c>
      <c r="D107" s="11" t="s">
        <v>243</v>
      </c>
      <c r="E107" s="12">
        <v>274</v>
      </c>
      <c r="F107" s="11" t="s">
        <v>436</v>
      </c>
      <c r="G107" s="11" t="s">
        <v>97</v>
      </c>
      <c r="H107" s="13" t="s">
        <v>437</v>
      </c>
    </row>
    <row r="108" spans="1:8" x14ac:dyDescent="0.2">
      <c r="A108" s="14">
        <v>99</v>
      </c>
      <c r="B108" s="15" t="s">
        <v>438</v>
      </c>
      <c r="C108" s="15" t="s">
        <v>175</v>
      </c>
      <c r="D108" s="15" t="s">
        <v>243</v>
      </c>
      <c r="E108" s="16">
        <v>190</v>
      </c>
      <c r="F108" s="15" t="s">
        <v>304</v>
      </c>
      <c r="G108" s="15" t="s">
        <v>97</v>
      </c>
      <c r="H108" s="17"/>
    </row>
    <row r="109" spans="1:8" x14ac:dyDescent="0.2">
      <c r="A109" s="10">
        <v>100</v>
      </c>
      <c r="B109" s="11" t="s">
        <v>439</v>
      </c>
      <c r="C109" s="11" t="s">
        <v>125</v>
      </c>
      <c r="D109" s="11" t="s">
        <v>243</v>
      </c>
      <c r="E109" s="12">
        <v>182</v>
      </c>
      <c r="F109" s="11" t="s">
        <v>440</v>
      </c>
      <c r="G109" s="11" t="s">
        <v>126</v>
      </c>
      <c r="H109" s="13" t="s">
        <v>441</v>
      </c>
    </row>
    <row r="110" spans="1:8" x14ac:dyDescent="0.2">
      <c r="A110" s="14">
        <v>101</v>
      </c>
      <c r="B110" s="15" t="s">
        <v>442</v>
      </c>
      <c r="C110" s="15" t="s">
        <v>95</v>
      </c>
      <c r="D110" s="15" t="s">
        <v>243</v>
      </c>
      <c r="E110" s="16">
        <v>167</v>
      </c>
      <c r="F110" s="15" t="s">
        <v>443</v>
      </c>
      <c r="G110" s="15" t="s">
        <v>97</v>
      </c>
      <c r="H110" s="17"/>
    </row>
    <row r="111" spans="1:8" x14ac:dyDescent="0.2">
      <c r="A111" s="10">
        <v>102</v>
      </c>
      <c r="B111" s="11" t="s">
        <v>444</v>
      </c>
      <c r="C111" s="11" t="s">
        <v>149</v>
      </c>
      <c r="D111" s="11" t="s">
        <v>243</v>
      </c>
      <c r="E111" s="12">
        <v>135</v>
      </c>
      <c r="F111" s="11" t="s">
        <v>443</v>
      </c>
      <c r="G111" s="11" t="s">
        <v>97</v>
      </c>
      <c r="H111" s="13"/>
    </row>
    <row r="112" spans="1:8" x14ac:dyDescent="0.2">
      <c r="A112" s="14">
        <v>103</v>
      </c>
      <c r="B112" s="15" t="s">
        <v>445</v>
      </c>
      <c r="C112" s="15" t="s">
        <v>158</v>
      </c>
      <c r="D112" s="15" t="s">
        <v>243</v>
      </c>
      <c r="E112" s="16">
        <v>130</v>
      </c>
      <c r="F112" s="15" t="s">
        <v>304</v>
      </c>
      <c r="G112" s="15" t="s">
        <v>97</v>
      </c>
      <c r="H112" s="17"/>
    </row>
    <row r="113" spans="1:8" x14ac:dyDescent="0.2">
      <c r="A113" s="10">
        <v>104</v>
      </c>
      <c r="B113" s="11" t="s">
        <v>446</v>
      </c>
      <c r="C113" s="11" t="s">
        <v>125</v>
      </c>
      <c r="D113" s="11" t="s">
        <v>243</v>
      </c>
      <c r="E113" s="12">
        <v>128</v>
      </c>
      <c r="F113" s="11" t="s">
        <v>447</v>
      </c>
      <c r="G113" s="11" t="s">
        <v>126</v>
      </c>
      <c r="H113" s="13"/>
    </row>
    <row r="114" spans="1:8" x14ac:dyDescent="0.2">
      <c r="A114" s="14">
        <v>105</v>
      </c>
      <c r="B114" s="15" t="s">
        <v>448</v>
      </c>
      <c r="C114" s="15" t="s">
        <v>396</v>
      </c>
      <c r="D114" s="15" t="s">
        <v>243</v>
      </c>
      <c r="E114" s="16">
        <v>96</v>
      </c>
      <c r="F114" s="15" t="s">
        <v>449</v>
      </c>
      <c r="G114" s="15" t="s">
        <v>313</v>
      </c>
      <c r="H114" s="17"/>
    </row>
    <row r="115" spans="1:8" x14ac:dyDescent="0.2">
      <c r="A115" s="10">
        <v>106</v>
      </c>
      <c r="B115" s="11" t="s">
        <v>450</v>
      </c>
      <c r="C115" s="11" t="s">
        <v>125</v>
      </c>
      <c r="D115" s="11" t="s">
        <v>243</v>
      </c>
      <c r="E115" s="12">
        <v>91</v>
      </c>
      <c r="F115" s="11" t="s">
        <v>304</v>
      </c>
      <c r="G115" s="11" t="s">
        <v>126</v>
      </c>
      <c r="H115" s="13"/>
    </row>
    <row r="116" spans="1:8" x14ac:dyDescent="0.2">
      <c r="A116" s="14">
        <v>107</v>
      </c>
      <c r="B116" s="15" t="s">
        <v>451</v>
      </c>
      <c r="C116" s="15" t="s">
        <v>396</v>
      </c>
      <c r="D116" s="15" t="s">
        <v>243</v>
      </c>
      <c r="E116" s="16">
        <v>88</v>
      </c>
      <c r="F116" s="15" t="s">
        <v>304</v>
      </c>
      <c r="G116" s="15" t="s">
        <v>313</v>
      </c>
      <c r="H116" s="17"/>
    </row>
    <row r="117" spans="1:8" x14ac:dyDescent="0.2">
      <c r="A117" s="10">
        <v>108</v>
      </c>
      <c r="B117" s="11" t="s">
        <v>452</v>
      </c>
      <c r="C117" s="11" t="s">
        <v>379</v>
      </c>
      <c r="D117" s="11" t="s">
        <v>243</v>
      </c>
      <c r="E117" s="12">
        <v>85</v>
      </c>
      <c r="F117" s="11" t="s">
        <v>304</v>
      </c>
      <c r="G117" s="11" t="s">
        <v>313</v>
      </c>
      <c r="H117" s="13"/>
    </row>
    <row r="118" spans="1:8" x14ac:dyDescent="0.2">
      <c r="A118" s="14">
        <v>109</v>
      </c>
      <c r="B118" s="15" t="s">
        <v>453</v>
      </c>
      <c r="C118" s="15" t="s">
        <v>454</v>
      </c>
      <c r="D118" s="15" t="s">
        <v>243</v>
      </c>
      <c r="E118" s="16">
        <v>80</v>
      </c>
      <c r="F118" s="15" t="s">
        <v>304</v>
      </c>
      <c r="G118" s="15" t="s">
        <v>313</v>
      </c>
      <c r="H118" s="17"/>
    </row>
    <row r="119" spans="1:8" x14ac:dyDescent="0.2">
      <c r="A119" s="23" t="s">
        <v>455</v>
      </c>
      <c r="B119" s="24"/>
      <c r="C119" s="24"/>
      <c r="D119" s="24"/>
      <c r="E119" s="24"/>
      <c r="F119" s="24"/>
      <c r="G119" s="24"/>
      <c r="H119" s="24"/>
    </row>
    <row r="120" spans="1:8" x14ac:dyDescent="0.2">
      <c r="A120" s="10">
        <v>110</v>
      </c>
      <c r="B120" s="11" t="s">
        <v>456</v>
      </c>
      <c r="C120" s="11" t="s">
        <v>178</v>
      </c>
      <c r="D120" s="11" t="s">
        <v>245</v>
      </c>
      <c r="E120" s="12">
        <v>167</v>
      </c>
      <c r="F120" s="11" t="s">
        <v>436</v>
      </c>
      <c r="G120" s="11" t="s">
        <v>97</v>
      </c>
      <c r="H120" s="13"/>
    </row>
    <row r="121" spans="1:8" x14ac:dyDescent="0.2">
      <c r="A121" s="14">
        <v>111</v>
      </c>
      <c r="B121" s="15" t="s">
        <v>457</v>
      </c>
      <c r="C121" s="15" t="s">
        <v>140</v>
      </c>
      <c r="D121" s="15" t="s">
        <v>245</v>
      </c>
      <c r="E121" s="16">
        <v>160</v>
      </c>
      <c r="F121" s="15" t="s">
        <v>436</v>
      </c>
      <c r="G121" s="15" t="s">
        <v>97</v>
      </c>
      <c r="H121" s="17"/>
    </row>
    <row r="122" spans="1:8" x14ac:dyDescent="0.2">
      <c r="A122" s="10">
        <v>112</v>
      </c>
      <c r="B122" s="11" t="s">
        <v>458</v>
      </c>
      <c r="C122" s="11" t="s">
        <v>109</v>
      </c>
      <c r="D122" s="11" t="s">
        <v>245</v>
      </c>
      <c r="E122" s="12">
        <v>135</v>
      </c>
      <c r="F122" s="11" t="s">
        <v>436</v>
      </c>
      <c r="G122" s="11" t="s">
        <v>97</v>
      </c>
      <c r="H122" s="13"/>
    </row>
    <row r="123" spans="1:8" x14ac:dyDescent="0.2">
      <c r="A123" s="14">
        <v>113</v>
      </c>
      <c r="B123" s="15" t="s">
        <v>459</v>
      </c>
      <c r="C123" s="15" t="s">
        <v>158</v>
      </c>
      <c r="D123" s="15" t="s">
        <v>245</v>
      </c>
      <c r="E123" s="16">
        <v>133</v>
      </c>
      <c r="F123" s="15" t="s">
        <v>460</v>
      </c>
      <c r="G123" s="15" t="s">
        <v>97</v>
      </c>
      <c r="H123" s="17"/>
    </row>
    <row r="124" spans="1:8" x14ac:dyDescent="0.2">
      <c r="A124" s="10">
        <v>114</v>
      </c>
      <c r="B124" s="11" t="s">
        <v>461</v>
      </c>
      <c r="C124" s="11" t="s">
        <v>217</v>
      </c>
      <c r="D124" s="11" t="s">
        <v>245</v>
      </c>
      <c r="E124" s="12">
        <v>118</v>
      </c>
      <c r="F124" s="11" t="s">
        <v>460</v>
      </c>
      <c r="G124" s="11" t="s">
        <v>97</v>
      </c>
      <c r="H124" s="13"/>
    </row>
    <row r="125" spans="1:8" x14ac:dyDescent="0.2">
      <c r="A125" s="14">
        <v>115</v>
      </c>
      <c r="B125" s="15" t="s">
        <v>462</v>
      </c>
      <c r="C125" s="15" t="s">
        <v>175</v>
      </c>
      <c r="D125" s="15" t="s">
        <v>245</v>
      </c>
      <c r="E125" s="16">
        <v>112</v>
      </c>
      <c r="F125" s="15" t="s">
        <v>460</v>
      </c>
      <c r="G125" s="15" t="s">
        <v>97</v>
      </c>
      <c r="H125" s="17"/>
    </row>
    <row r="126" spans="1:8" x14ac:dyDescent="0.2">
      <c r="A126" s="10">
        <v>116</v>
      </c>
      <c r="B126" s="11" t="s">
        <v>463</v>
      </c>
      <c r="C126" s="11" t="s">
        <v>464</v>
      </c>
      <c r="D126" s="11" t="s">
        <v>245</v>
      </c>
      <c r="E126" s="12">
        <v>105</v>
      </c>
      <c r="F126" s="11" t="s">
        <v>460</v>
      </c>
      <c r="G126" s="11" t="s">
        <v>97</v>
      </c>
      <c r="H126" s="13"/>
    </row>
    <row r="127" spans="1:8" x14ac:dyDescent="0.2">
      <c r="A127" s="14">
        <v>117</v>
      </c>
      <c r="B127" s="15" t="s">
        <v>465</v>
      </c>
      <c r="C127" s="15" t="s">
        <v>95</v>
      </c>
      <c r="D127" s="15" t="s">
        <v>245</v>
      </c>
      <c r="E127" s="16">
        <v>103</v>
      </c>
      <c r="F127" s="15" t="s">
        <v>460</v>
      </c>
      <c r="G127" s="15" t="s">
        <v>97</v>
      </c>
      <c r="H127" s="17"/>
    </row>
    <row r="128" spans="1:8" x14ac:dyDescent="0.2">
      <c r="A128" s="10">
        <v>118</v>
      </c>
      <c r="B128" s="11" t="s">
        <v>466</v>
      </c>
      <c r="C128" s="11" t="s">
        <v>131</v>
      </c>
      <c r="D128" s="11" t="s">
        <v>245</v>
      </c>
      <c r="E128" s="12">
        <v>96</v>
      </c>
      <c r="F128" s="11" t="s">
        <v>460</v>
      </c>
      <c r="G128" s="11" t="s">
        <v>126</v>
      </c>
      <c r="H128" s="13"/>
    </row>
    <row r="129" spans="1:8" x14ac:dyDescent="0.2">
      <c r="A129" s="14">
        <v>119</v>
      </c>
      <c r="B129" s="15" t="s">
        <v>467</v>
      </c>
      <c r="C129" s="15" t="s">
        <v>131</v>
      </c>
      <c r="D129" s="15" t="s">
        <v>245</v>
      </c>
      <c r="E129" s="16">
        <v>91</v>
      </c>
      <c r="F129" s="15" t="s">
        <v>436</v>
      </c>
      <c r="G129" s="15" t="s">
        <v>126</v>
      </c>
      <c r="H129" s="17"/>
    </row>
    <row r="130" spans="1:8" x14ac:dyDescent="0.2">
      <c r="A130" s="10">
        <v>120</v>
      </c>
      <c r="B130" s="11" t="s">
        <v>468</v>
      </c>
      <c r="C130" s="11" t="s">
        <v>345</v>
      </c>
      <c r="D130" s="11" t="s">
        <v>245</v>
      </c>
      <c r="E130" s="12">
        <v>90</v>
      </c>
      <c r="F130" s="11" t="s">
        <v>460</v>
      </c>
      <c r="G130" s="11" t="s">
        <v>97</v>
      </c>
      <c r="H130" s="13"/>
    </row>
    <row r="131" spans="1:8" x14ac:dyDescent="0.2">
      <c r="A131" s="14">
        <v>121</v>
      </c>
      <c r="B131" s="15" t="s">
        <v>469</v>
      </c>
      <c r="C131" s="15" t="s">
        <v>464</v>
      </c>
      <c r="D131" s="15" t="s">
        <v>245</v>
      </c>
      <c r="E131" s="16">
        <v>87</v>
      </c>
      <c r="F131" s="15" t="s">
        <v>460</v>
      </c>
      <c r="G131" s="15" t="s">
        <v>97</v>
      </c>
      <c r="H131" s="17"/>
    </row>
    <row r="132" spans="1:8" x14ac:dyDescent="0.2">
      <c r="A132" s="10">
        <v>122</v>
      </c>
      <c r="B132" s="11" t="s">
        <v>470</v>
      </c>
      <c r="C132" s="11" t="s">
        <v>193</v>
      </c>
      <c r="D132" s="11" t="s">
        <v>245</v>
      </c>
      <c r="E132" s="12">
        <v>79</v>
      </c>
      <c r="F132" s="11" t="s">
        <v>460</v>
      </c>
      <c r="G132" s="11" t="s">
        <v>97</v>
      </c>
      <c r="H132" s="13"/>
    </row>
    <row r="133" spans="1:8" x14ac:dyDescent="0.2">
      <c r="A133" s="14">
        <v>123</v>
      </c>
      <c r="B133" s="15" t="s">
        <v>471</v>
      </c>
      <c r="C133" s="15" t="s">
        <v>125</v>
      </c>
      <c r="D133" s="15" t="s">
        <v>245</v>
      </c>
      <c r="E133" s="16"/>
      <c r="F133" s="15" t="s">
        <v>472</v>
      </c>
      <c r="G133" s="15" t="s">
        <v>126</v>
      </c>
      <c r="H133" s="17" t="s">
        <v>473</v>
      </c>
    </row>
    <row r="134" spans="1:8" x14ac:dyDescent="0.2">
      <c r="A134" s="10">
        <v>124</v>
      </c>
      <c r="B134" s="11" t="s">
        <v>474</v>
      </c>
      <c r="C134" s="11" t="s">
        <v>125</v>
      </c>
      <c r="D134" s="11" t="s">
        <v>245</v>
      </c>
      <c r="E134" s="12"/>
      <c r="F134" s="11" t="s">
        <v>460</v>
      </c>
      <c r="G134" s="11" t="s">
        <v>126</v>
      </c>
      <c r="H134" s="13" t="s">
        <v>473</v>
      </c>
    </row>
    <row r="135" spans="1:8" x14ac:dyDescent="0.2">
      <c r="A135" s="23" t="s">
        <v>475</v>
      </c>
      <c r="B135" s="24"/>
      <c r="C135" s="24"/>
      <c r="D135" s="24"/>
      <c r="E135" s="24"/>
      <c r="F135" s="24"/>
      <c r="G135" s="24"/>
      <c r="H135" s="24"/>
    </row>
    <row r="136" spans="1:8" x14ac:dyDescent="0.2">
      <c r="A136" s="10">
        <v>125</v>
      </c>
      <c r="B136" s="11" t="s">
        <v>476</v>
      </c>
      <c r="C136" s="11" t="s">
        <v>125</v>
      </c>
      <c r="D136" s="11" t="s">
        <v>247</v>
      </c>
      <c r="E136" s="12">
        <v>269</v>
      </c>
      <c r="F136" s="11" t="s">
        <v>477</v>
      </c>
      <c r="G136" s="11" t="s">
        <v>126</v>
      </c>
      <c r="H136" s="13" t="s">
        <v>478</v>
      </c>
    </row>
    <row r="137" spans="1:8" x14ac:dyDescent="0.2">
      <c r="A137" s="14">
        <v>126</v>
      </c>
      <c r="B137" s="15" t="s">
        <v>479</v>
      </c>
      <c r="C137" s="15" t="s">
        <v>480</v>
      </c>
      <c r="D137" s="15" t="s">
        <v>247</v>
      </c>
      <c r="E137" s="16">
        <v>224</v>
      </c>
      <c r="F137" s="15" t="s">
        <v>477</v>
      </c>
      <c r="G137" s="15" t="s">
        <v>97</v>
      </c>
      <c r="H137" s="17" t="s">
        <v>481</v>
      </c>
    </row>
    <row r="138" spans="1:8" x14ac:dyDescent="0.2">
      <c r="A138" s="10">
        <v>127</v>
      </c>
      <c r="B138" s="11" t="s">
        <v>482</v>
      </c>
      <c r="C138" s="11" t="s">
        <v>134</v>
      </c>
      <c r="D138" s="11" t="s">
        <v>247</v>
      </c>
      <c r="E138" s="12">
        <v>105</v>
      </c>
      <c r="F138" s="11" t="s">
        <v>447</v>
      </c>
      <c r="G138" s="11" t="s">
        <v>126</v>
      </c>
      <c r="H138" s="13"/>
    </row>
    <row r="139" spans="1:8" x14ac:dyDescent="0.2">
      <c r="A139" s="14">
        <v>128</v>
      </c>
      <c r="B139" s="15" t="s">
        <v>483</v>
      </c>
      <c r="C139" s="15" t="s">
        <v>95</v>
      </c>
      <c r="D139" s="15" t="s">
        <v>247</v>
      </c>
      <c r="E139" s="16">
        <v>93</v>
      </c>
      <c r="F139" s="15" t="s">
        <v>484</v>
      </c>
      <c r="G139" s="15" t="s">
        <v>97</v>
      </c>
      <c r="H139" s="17"/>
    </row>
    <row r="140" spans="1:8" x14ac:dyDescent="0.2">
      <c r="A140" s="10">
        <v>129</v>
      </c>
      <c r="B140" s="11" t="s">
        <v>485</v>
      </c>
      <c r="C140" s="11" t="s">
        <v>345</v>
      </c>
      <c r="D140" s="11" t="s">
        <v>247</v>
      </c>
      <c r="E140" s="12">
        <v>92</v>
      </c>
      <c r="F140" s="11" t="s">
        <v>447</v>
      </c>
      <c r="G140" s="11" t="s">
        <v>97</v>
      </c>
      <c r="H140" s="13"/>
    </row>
    <row r="141" spans="1:8" x14ac:dyDescent="0.2">
      <c r="A141" s="14">
        <v>130</v>
      </c>
      <c r="B141" s="15" t="s">
        <v>486</v>
      </c>
      <c r="C141" s="15" t="s">
        <v>217</v>
      </c>
      <c r="D141" s="15" t="s">
        <v>247</v>
      </c>
      <c r="E141" s="16">
        <v>90</v>
      </c>
      <c r="F141" s="15" t="s">
        <v>447</v>
      </c>
      <c r="G141" s="15" t="s">
        <v>97</v>
      </c>
      <c r="H141" s="17"/>
    </row>
    <row r="142" spans="1:8" x14ac:dyDescent="0.2">
      <c r="A142" s="10">
        <v>131</v>
      </c>
      <c r="B142" s="11" t="s">
        <v>487</v>
      </c>
      <c r="C142" s="11" t="s">
        <v>137</v>
      </c>
      <c r="D142" s="11" t="s">
        <v>247</v>
      </c>
      <c r="E142" s="12">
        <v>81</v>
      </c>
      <c r="F142" s="11" t="s">
        <v>447</v>
      </c>
      <c r="G142" s="11" t="s">
        <v>97</v>
      </c>
      <c r="H142" s="13"/>
    </row>
    <row r="143" spans="1:8" x14ac:dyDescent="0.2">
      <c r="A143" s="14">
        <v>132</v>
      </c>
      <c r="B143" s="15" t="s">
        <v>488</v>
      </c>
      <c r="C143" s="15" t="s">
        <v>131</v>
      </c>
      <c r="D143" s="15" t="s">
        <v>247</v>
      </c>
      <c r="E143" s="16">
        <v>80</v>
      </c>
      <c r="F143" s="15" t="s">
        <v>447</v>
      </c>
      <c r="G143" s="15" t="s">
        <v>126</v>
      </c>
      <c r="H143" s="17"/>
    </row>
    <row r="144" spans="1:8" x14ac:dyDescent="0.2">
      <c r="A144" s="10">
        <v>133</v>
      </c>
      <c r="B144" s="11" t="s">
        <v>489</v>
      </c>
      <c r="C144" s="11" t="s">
        <v>95</v>
      </c>
      <c r="D144" s="11" t="s">
        <v>247</v>
      </c>
      <c r="E144" s="12">
        <v>76</v>
      </c>
      <c r="F144" s="11" t="s">
        <v>447</v>
      </c>
      <c r="G144" s="11" t="s">
        <v>97</v>
      </c>
      <c r="H144" s="13"/>
    </row>
    <row r="145" spans="1:8" x14ac:dyDescent="0.2">
      <c r="A145" s="14">
        <v>134</v>
      </c>
      <c r="B145" s="15" t="s">
        <v>490</v>
      </c>
      <c r="C145" s="15" t="s">
        <v>175</v>
      </c>
      <c r="D145" s="15" t="s">
        <v>247</v>
      </c>
      <c r="E145" s="16">
        <v>60</v>
      </c>
      <c r="F145" s="15" t="s">
        <v>447</v>
      </c>
      <c r="G145" s="15" t="s">
        <v>97</v>
      </c>
      <c r="H145" s="17"/>
    </row>
    <row r="146" spans="1:8" x14ac:dyDescent="0.2">
      <c r="A146" s="10">
        <v>135</v>
      </c>
      <c r="B146" s="11" t="s">
        <v>491</v>
      </c>
      <c r="C146" s="11" t="s">
        <v>196</v>
      </c>
      <c r="D146" s="11" t="s">
        <v>247</v>
      </c>
      <c r="E146" s="12">
        <v>55</v>
      </c>
      <c r="F146" s="11" t="s">
        <v>447</v>
      </c>
      <c r="G146" s="11" t="s">
        <v>97</v>
      </c>
      <c r="H146" s="13"/>
    </row>
    <row r="147" spans="1:8" x14ac:dyDescent="0.2">
      <c r="A147" s="14">
        <v>136</v>
      </c>
      <c r="B147" s="15" t="s">
        <v>492</v>
      </c>
      <c r="C147" s="15" t="s">
        <v>95</v>
      </c>
      <c r="D147" s="15" t="s">
        <v>247</v>
      </c>
      <c r="E147" s="16"/>
      <c r="F147" s="15" t="s">
        <v>493</v>
      </c>
      <c r="G147" s="15" t="s">
        <v>97</v>
      </c>
      <c r="H147" s="17" t="s">
        <v>494</v>
      </c>
    </row>
    <row r="148" spans="1:8" x14ac:dyDescent="0.2">
      <c r="A148" s="23" t="s">
        <v>495</v>
      </c>
      <c r="B148" s="24"/>
      <c r="C148" s="24"/>
      <c r="D148" s="24"/>
      <c r="E148" s="24"/>
      <c r="F148" s="24"/>
      <c r="G148" s="24"/>
      <c r="H148" s="24"/>
    </row>
    <row r="149" spans="1:8" x14ac:dyDescent="0.2">
      <c r="A149" s="10">
        <v>137</v>
      </c>
      <c r="B149" s="11" t="s">
        <v>496</v>
      </c>
      <c r="C149" s="11" t="s">
        <v>149</v>
      </c>
      <c r="D149" s="11" t="s">
        <v>249</v>
      </c>
      <c r="E149" s="12">
        <v>210</v>
      </c>
      <c r="F149" s="11" t="s">
        <v>304</v>
      </c>
      <c r="G149" s="11" t="s">
        <v>97</v>
      </c>
      <c r="H149" s="13" t="s">
        <v>497</v>
      </c>
    </row>
    <row r="150" spans="1:8" x14ac:dyDescent="0.2">
      <c r="A150" s="14">
        <v>138</v>
      </c>
      <c r="B150" s="15" t="s">
        <v>498</v>
      </c>
      <c r="C150" s="15" t="s">
        <v>95</v>
      </c>
      <c r="D150" s="15" t="s">
        <v>249</v>
      </c>
      <c r="E150" s="16">
        <v>195</v>
      </c>
      <c r="F150" s="15" t="s">
        <v>443</v>
      </c>
      <c r="G150" s="15" t="s">
        <v>97</v>
      </c>
      <c r="H150" s="17"/>
    </row>
    <row r="151" spans="1:8" x14ac:dyDescent="0.2">
      <c r="A151" s="10">
        <v>139</v>
      </c>
      <c r="B151" s="11" t="s">
        <v>499</v>
      </c>
      <c r="C151" s="11" t="s">
        <v>500</v>
      </c>
      <c r="D151" s="11" t="s">
        <v>249</v>
      </c>
      <c r="E151" s="12">
        <v>180</v>
      </c>
      <c r="F151" s="11" t="s">
        <v>304</v>
      </c>
      <c r="G151" s="11" t="s">
        <v>97</v>
      </c>
      <c r="H151" s="13"/>
    </row>
    <row r="152" spans="1:8" x14ac:dyDescent="0.2">
      <c r="A152" s="14">
        <v>140</v>
      </c>
      <c r="B152" s="15" t="s">
        <v>501</v>
      </c>
      <c r="C152" s="15" t="s">
        <v>100</v>
      </c>
      <c r="D152" s="15" t="s">
        <v>249</v>
      </c>
      <c r="E152" s="16">
        <v>178</v>
      </c>
      <c r="F152" s="15" t="s">
        <v>447</v>
      </c>
      <c r="G152" s="15" t="s">
        <v>97</v>
      </c>
      <c r="H152" s="17"/>
    </row>
    <row r="153" spans="1:8" x14ac:dyDescent="0.2">
      <c r="A153" s="10">
        <v>141</v>
      </c>
      <c r="B153" s="11" t="s">
        <v>502</v>
      </c>
      <c r="C153" s="11" t="s">
        <v>95</v>
      </c>
      <c r="D153" s="11" t="s">
        <v>249</v>
      </c>
      <c r="E153" s="12">
        <v>178</v>
      </c>
      <c r="F153" s="11" t="s">
        <v>447</v>
      </c>
      <c r="G153" s="11" t="s">
        <v>97</v>
      </c>
      <c r="H153" s="13"/>
    </row>
    <row r="154" spans="1:8" x14ac:dyDescent="0.2">
      <c r="A154" s="14">
        <v>142</v>
      </c>
      <c r="B154" s="15" t="s">
        <v>503</v>
      </c>
      <c r="C154" s="15" t="s">
        <v>307</v>
      </c>
      <c r="D154" s="15" t="s">
        <v>249</v>
      </c>
      <c r="E154" s="16">
        <v>172</v>
      </c>
      <c r="F154" s="15" t="s">
        <v>447</v>
      </c>
      <c r="G154" s="15" t="s">
        <v>97</v>
      </c>
      <c r="H154" s="17"/>
    </row>
    <row r="155" spans="1:8" x14ac:dyDescent="0.2">
      <c r="A155" s="23" t="s">
        <v>504</v>
      </c>
      <c r="B155" s="24"/>
      <c r="C155" s="24"/>
      <c r="D155" s="24"/>
      <c r="E155" s="24"/>
      <c r="F155" s="24"/>
      <c r="G155" s="24"/>
      <c r="H155" s="24"/>
    </row>
    <row r="156" spans="1:8" x14ac:dyDescent="0.2">
      <c r="A156" s="10">
        <v>143</v>
      </c>
      <c r="B156" s="11" t="s">
        <v>505</v>
      </c>
      <c r="C156" s="11" t="s">
        <v>131</v>
      </c>
      <c r="D156" s="11" t="s">
        <v>251</v>
      </c>
      <c r="E156" s="12">
        <v>120</v>
      </c>
      <c r="F156" s="11" t="s">
        <v>304</v>
      </c>
      <c r="G156" s="11" t="s">
        <v>126</v>
      </c>
      <c r="H156" s="13"/>
    </row>
    <row r="157" spans="1:8" x14ac:dyDescent="0.2">
      <c r="A157" s="14">
        <v>144</v>
      </c>
      <c r="B157" s="15" t="s">
        <v>506</v>
      </c>
      <c r="C157" s="15" t="s">
        <v>125</v>
      </c>
      <c r="D157" s="15" t="s">
        <v>251</v>
      </c>
      <c r="E157" s="16">
        <v>107</v>
      </c>
      <c r="F157" s="15" t="s">
        <v>304</v>
      </c>
      <c r="G157" s="15" t="s">
        <v>126</v>
      </c>
      <c r="H157" s="17"/>
    </row>
    <row r="158" spans="1:8" x14ac:dyDescent="0.2">
      <c r="A158" s="10">
        <v>145</v>
      </c>
      <c r="B158" s="11" t="s">
        <v>507</v>
      </c>
      <c r="C158" s="11" t="s">
        <v>125</v>
      </c>
      <c r="D158" s="11" t="s">
        <v>251</v>
      </c>
      <c r="E158" s="12">
        <v>90</v>
      </c>
      <c r="F158" s="11" t="s">
        <v>304</v>
      </c>
      <c r="G158" s="11" t="s">
        <v>126</v>
      </c>
      <c r="H158" s="13"/>
    </row>
    <row r="159" spans="1:8" x14ac:dyDescent="0.2">
      <c r="A159" s="14">
        <v>146</v>
      </c>
      <c r="B159" s="15" t="s">
        <v>508</v>
      </c>
      <c r="C159" s="15" t="s">
        <v>131</v>
      </c>
      <c r="D159" s="15" t="s">
        <v>251</v>
      </c>
      <c r="E159" s="16">
        <v>83</v>
      </c>
      <c r="F159" s="15" t="s">
        <v>304</v>
      </c>
      <c r="G159" s="15" t="s">
        <v>126</v>
      </c>
      <c r="H159" s="17"/>
    </row>
    <row r="160" spans="1:8" x14ac:dyDescent="0.2">
      <c r="A160" s="10">
        <v>147</v>
      </c>
      <c r="B160" s="11" t="s">
        <v>509</v>
      </c>
      <c r="C160" s="11" t="s">
        <v>125</v>
      </c>
      <c r="D160" s="11" t="s">
        <v>251</v>
      </c>
      <c r="E160" s="12">
        <v>83</v>
      </c>
      <c r="F160" s="11" t="s">
        <v>304</v>
      </c>
      <c r="G160" s="11" t="s">
        <v>126</v>
      </c>
      <c r="H160" s="13"/>
    </row>
    <row r="161" spans="1:8" x14ac:dyDescent="0.2">
      <c r="A161" s="14">
        <v>148</v>
      </c>
      <c r="B161" s="15" t="s">
        <v>510</v>
      </c>
      <c r="C161" s="15" t="s">
        <v>125</v>
      </c>
      <c r="D161" s="15" t="s">
        <v>251</v>
      </c>
      <c r="E161" s="16">
        <v>80</v>
      </c>
      <c r="F161" s="15" t="s">
        <v>304</v>
      </c>
      <c r="G161" s="15" t="s">
        <v>126</v>
      </c>
      <c r="H161" s="17"/>
    </row>
    <row r="162" spans="1:8" x14ac:dyDescent="0.2">
      <c r="A162" s="10">
        <v>149</v>
      </c>
      <c r="B162" s="11" t="s">
        <v>511</v>
      </c>
      <c r="C162" s="11" t="s">
        <v>512</v>
      </c>
      <c r="D162" s="11" t="s">
        <v>251</v>
      </c>
      <c r="E162" s="12">
        <v>78</v>
      </c>
      <c r="F162" s="11" t="s">
        <v>304</v>
      </c>
      <c r="G162" s="11" t="s">
        <v>313</v>
      </c>
      <c r="H162" s="13"/>
    </row>
    <row r="163" spans="1:8" x14ac:dyDescent="0.2">
      <c r="A163" s="14">
        <v>150</v>
      </c>
      <c r="B163" s="15" t="s">
        <v>415</v>
      </c>
      <c r="C163" s="15" t="s">
        <v>415</v>
      </c>
      <c r="D163" s="15" t="s">
        <v>251</v>
      </c>
      <c r="E163" s="16">
        <v>63</v>
      </c>
      <c r="F163" s="15" t="s">
        <v>304</v>
      </c>
      <c r="G163" s="15" t="s">
        <v>313</v>
      </c>
      <c r="H163" s="17"/>
    </row>
    <row r="164" spans="1:8" x14ac:dyDescent="0.2">
      <c r="A164" s="10">
        <v>151</v>
      </c>
      <c r="B164" s="11" t="s">
        <v>513</v>
      </c>
      <c r="C164" s="11" t="s">
        <v>140</v>
      </c>
      <c r="D164" s="11" t="s">
        <v>251</v>
      </c>
      <c r="E164" s="12">
        <v>5</v>
      </c>
      <c r="F164" s="11" t="s">
        <v>304</v>
      </c>
      <c r="G164" s="11" t="s">
        <v>97</v>
      </c>
      <c r="H164" s="13"/>
    </row>
    <row r="165" spans="1:8" x14ac:dyDescent="0.2">
      <c r="A165" s="23" t="s">
        <v>514</v>
      </c>
      <c r="B165" s="24"/>
      <c r="C165" s="24"/>
      <c r="D165" s="24"/>
      <c r="E165" s="24"/>
      <c r="F165" s="24"/>
      <c r="G165" s="24"/>
      <c r="H165" s="24"/>
    </row>
    <row r="166" spans="1:8" x14ac:dyDescent="0.2">
      <c r="A166" s="10">
        <v>152</v>
      </c>
      <c r="B166" s="11" t="s">
        <v>515</v>
      </c>
      <c r="C166" s="11" t="s">
        <v>95</v>
      </c>
      <c r="D166" s="11" t="s">
        <v>252</v>
      </c>
      <c r="E166" s="12">
        <v>126</v>
      </c>
      <c r="F166" s="11" t="s">
        <v>460</v>
      </c>
      <c r="G166" s="11" t="s">
        <v>97</v>
      </c>
      <c r="H166" s="13"/>
    </row>
    <row r="167" spans="1:8" x14ac:dyDescent="0.2">
      <c r="A167" s="14">
        <v>153</v>
      </c>
      <c r="B167" s="15" t="s">
        <v>516</v>
      </c>
      <c r="C167" s="15" t="s">
        <v>149</v>
      </c>
      <c r="D167" s="15" t="s">
        <v>252</v>
      </c>
      <c r="E167" s="16">
        <v>114</v>
      </c>
      <c r="F167" s="15" t="s">
        <v>460</v>
      </c>
      <c r="G167" s="15" t="s">
        <v>97</v>
      </c>
      <c r="H167" s="17"/>
    </row>
    <row r="168" spans="1:8" x14ac:dyDescent="0.2">
      <c r="A168" s="10">
        <v>154</v>
      </c>
      <c r="B168" s="11" t="s">
        <v>517</v>
      </c>
      <c r="C168" s="11" t="s">
        <v>217</v>
      </c>
      <c r="D168" s="11" t="s">
        <v>252</v>
      </c>
      <c r="E168" s="12">
        <v>110</v>
      </c>
      <c r="F168" s="11" t="s">
        <v>460</v>
      </c>
      <c r="G168" s="11" t="s">
        <v>97</v>
      </c>
      <c r="H168" s="13"/>
    </row>
    <row r="169" spans="1:8" x14ac:dyDescent="0.2">
      <c r="A169" s="14">
        <v>155</v>
      </c>
      <c r="B169" s="15" t="s">
        <v>518</v>
      </c>
      <c r="C169" s="15" t="s">
        <v>161</v>
      </c>
      <c r="D169" s="15" t="s">
        <v>252</v>
      </c>
      <c r="E169" s="16">
        <v>109</v>
      </c>
      <c r="F169" s="15" t="s">
        <v>460</v>
      </c>
      <c r="G169" s="15" t="s">
        <v>97</v>
      </c>
      <c r="H169" s="17"/>
    </row>
    <row r="170" spans="1:8" x14ac:dyDescent="0.2">
      <c r="A170" s="10">
        <v>156</v>
      </c>
      <c r="B170" s="11" t="s">
        <v>519</v>
      </c>
      <c r="C170" s="11" t="s">
        <v>95</v>
      </c>
      <c r="D170" s="11" t="s">
        <v>252</v>
      </c>
      <c r="E170" s="12">
        <v>108</v>
      </c>
      <c r="F170" s="11" t="s">
        <v>460</v>
      </c>
      <c r="G170" s="11" t="s">
        <v>97</v>
      </c>
      <c r="H170" s="13"/>
    </row>
    <row r="171" spans="1:8" x14ac:dyDescent="0.2">
      <c r="A171" s="14">
        <v>157</v>
      </c>
      <c r="B171" s="15" t="s">
        <v>520</v>
      </c>
      <c r="C171" s="15" t="s">
        <v>175</v>
      </c>
      <c r="D171" s="15" t="s">
        <v>252</v>
      </c>
      <c r="E171" s="16">
        <v>108</v>
      </c>
      <c r="F171" s="15" t="s">
        <v>460</v>
      </c>
      <c r="G171" s="15" t="s">
        <v>97</v>
      </c>
      <c r="H171" s="17"/>
    </row>
    <row r="172" spans="1:8" x14ac:dyDescent="0.2">
      <c r="A172" s="23" t="s">
        <v>521</v>
      </c>
      <c r="B172" s="24"/>
      <c r="C172" s="24"/>
      <c r="D172" s="24"/>
      <c r="E172" s="24"/>
      <c r="F172" s="24"/>
      <c r="G172" s="24"/>
      <c r="H172" s="24"/>
    </row>
    <row r="173" spans="1:8" x14ac:dyDescent="0.2">
      <c r="A173" s="10">
        <v>158</v>
      </c>
      <c r="B173" s="11" t="s">
        <v>522</v>
      </c>
      <c r="C173" s="11" t="s">
        <v>112</v>
      </c>
      <c r="D173" s="11" t="s">
        <v>254</v>
      </c>
      <c r="E173" s="12">
        <v>176</v>
      </c>
      <c r="F173" s="11" t="s">
        <v>460</v>
      </c>
      <c r="G173" s="11" t="s">
        <v>97</v>
      </c>
      <c r="H173" s="13" t="s">
        <v>523</v>
      </c>
    </row>
    <row r="174" spans="1:8" x14ac:dyDescent="0.2">
      <c r="A174" s="14">
        <v>159</v>
      </c>
      <c r="B174" s="15" t="s">
        <v>524</v>
      </c>
      <c r="C174" s="15" t="s">
        <v>125</v>
      </c>
      <c r="D174" s="15" t="s">
        <v>254</v>
      </c>
      <c r="E174" s="16">
        <v>162</v>
      </c>
      <c r="F174" s="15" t="s">
        <v>460</v>
      </c>
      <c r="G174" s="15" t="s">
        <v>126</v>
      </c>
      <c r="H174" s="17"/>
    </row>
    <row r="175" spans="1:8" x14ac:dyDescent="0.2">
      <c r="A175" s="10">
        <v>160</v>
      </c>
      <c r="B175" s="11" t="s">
        <v>525</v>
      </c>
      <c r="C175" s="11" t="s">
        <v>134</v>
      </c>
      <c r="D175" s="11" t="s">
        <v>254</v>
      </c>
      <c r="E175" s="12">
        <v>129</v>
      </c>
      <c r="F175" s="11" t="s">
        <v>460</v>
      </c>
      <c r="G175" s="11" t="s">
        <v>126</v>
      </c>
      <c r="H175" s="13"/>
    </row>
    <row r="176" spans="1:8" x14ac:dyDescent="0.2">
      <c r="A176" s="14">
        <v>161</v>
      </c>
      <c r="B176" s="15" t="s">
        <v>526</v>
      </c>
      <c r="C176" s="15" t="s">
        <v>131</v>
      </c>
      <c r="D176" s="15" t="s">
        <v>254</v>
      </c>
      <c r="E176" s="16">
        <v>107</v>
      </c>
      <c r="F176" s="15" t="s">
        <v>460</v>
      </c>
      <c r="G176" s="15" t="s">
        <v>126</v>
      </c>
      <c r="H176" s="17"/>
    </row>
    <row r="177" spans="1:8" x14ac:dyDescent="0.2">
      <c r="A177" s="10">
        <v>162</v>
      </c>
      <c r="B177" s="11" t="s">
        <v>527</v>
      </c>
      <c r="C177" s="11" t="s">
        <v>125</v>
      </c>
      <c r="D177" s="11" t="s">
        <v>254</v>
      </c>
      <c r="E177" s="12">
        <v>72</v>
      </c>
      <c r="F177" s="11" t="s">
        <v>460</v>
      </c>
      <c r="G177" s="11" t="s">
        <v>126</v>
      </c>
      <c r="H177" s="13"/>
    </row>
    <row r="178" spans="1:8" x14ac:dyDescent="0.2">
      <c r="A178" s="14">
        <v>163</v>
      </c>
      <c r="B178" s="15" t="s">
        <v>528</v>
      </c>
      <c r="C178" s="15" t="s">
        <v>529</v>
      </c>
      <c r="D178" s="15" t="s">
        <v>254</v>
      </c>
      <c r="E178" s="16"/>
      <c r="F178" s="15" t="s">
        <v>460</v>
      </c>
      <c r="G178" s="15" t="s">
        <v>126</v>
      </c>
      <c r="H178" s="17" t="s">
        <v>473</v>
      </c>
    </row>
    <row r="179" spans="1:8" x14ac:dyDescent="0.2">
      <c r="A179" s="23" t="s">
        <v>530</v>
      </c>
      <c r="B179" s="24"/>
      <c r="C179" s="24"/>
      <c r="D179" s="24"/>
      <c r="E179" s="24"/>
      <c r="F179" s="24"/>
      <c r="G179" s="24"/>
      <c r="H179" s="24"/>
    </row>
    <row r="180" spans="1:8" x14ac:dyDescent="0.2">
      <c r="A180" s="10">
        <v>164</v>
      </c>
      <c r="B180" s="11" t="s">
        <v>531</v>
      </c>
      <c r="C180" s="11" t="s">
        <v>178</v>
      </c>
      <c r="D180" s="11" t="s">
        <v>256</v>
      </c>
      <c r="E180" s="12">
        <v>96</v>
      </c>
      <c r="F180" s="11" t="s">
        <v>304</v>
      </c>
      <c r="G180" s="11" t="s">
        <v>97</v>
      </c>
      <c r="H180" s="13"/>
    </row>
    <row r="181" spans="1:8" x14ac:dyDescent="0.2">
      <c r="A181" s="14">
        <v>165</v>
      </c>
      <c r="B181" s="15" t="s">
        <v>532</v>
      </c>
      <c r="C181" s="15" t="s">
        <v>161</v>
      </c>
      <c r="D181" s="15" t="s">
        <v>256</v>
      </c>
      <c r="E181" s="16">
        <v>96</v>
      </c>
      <c r="F181" s="15" t="s">
        <v>304</v>
      </c>
      <c r="G181" s="15" t="s">
        <v>97</v>
      </c>
      <c r="H181" s="17"/>
    </row>
    <row r="182" spans="1:8" x14ac:dyDescent="0.2">
      <c r="A182" s="10">
        <v>166</v>
      </c>
      <c r="B182" s="11" t="s">
        <v>533</v>
      </c>
      <c r="C182" s="11" t="s">
        <v>95</v>
      </c>
      <c r="D182" s="11" t="s">
        <v>256</v>
      </c>
      <c r="E182" s="12">
        <v>96</v>
      </c>
      <c r="F182" s="11" t="s">
        <v>304</v>
      </c>
      <c r="G182" s="11" t="s">
        <v>97</v>
      </c>
      <c r="H182" s="13"/>
    </row>
    <row r="183" spans="1:8" x14ac:dyDescent="0.2">
      <c r="A183" s="14">
        <v>167</v>
      </c>
      <c r="B183" s="15" t="s">
        <v>534</v>
      </c>
      <c r="C183" s="15" t="s">
        <v>125</v>
      </c>
      <c r="D183" s="15" t="s">
        <v>256</v>
      </c>
      <c r="E183" s="16">
        <v>80</v>
      </c>
      <c r="F183" s="15" t="s">
        <v>304</v>
      </c>
      <c r="G183" s="15" t="s">
        <v>126</v>
      </c>
      <c r="H183" s="17"/>
    </row>
    <row r="184" spans="1:8" x14ac:dyDescent="0.2">
      <c r="A184" s="10">
        <v>168</v>
      </c>
      <c r="B184" s="11" t="s">
        <v>535</v>
      </c>
      <c r="C184" s="11" t="s">
        <v>125</v>
      </c>
      <c r="D184" s="11" t="s">
        <v>256</v>
      </c>
      <c r="E184" s="12">
        <v>80</v>
      </c>
      <c r="F184" s="11" t="s">
        <v>304</v>
      </c>
      <c r="G184" s="11" t="s">
        <v>126</v>
      </c>
      <c r="H184" s="13"/>
    </row>
    <row r="185" spans="1:8" x14ac:dyDescent="0.2">
      <c r="A185" s="14">
        <v>169</v>
      </c>
      <c r="B185" s="15" t="s">
        <v>536</v>
      </c>
      <c r="C185" s="15" t="s">
        <v>312</v>
      </c>
      <c r="D185" s="15" t="s">
        <v>256</v>
      </c>
      <c r="E185" s="16">
        <v>80</v>
      </c>
      <c r="F185" s="15" t="s">
        <v>304</v>
      </c>
      <c r="G185" s="15" t="s">
        <v>313</v>
      </c>
      <c r="H185" s="17"/>
    </row>
    <row r="186" spans="1:8" x14ac:dyDescent="0.2">
      <c r="A186" s="10">
        <v>170</v>
      </c>
      <c r="B186" s="11" t="s">
        <v>537</v>
      </c>
      <c r="C186" s="11" t="s">
        <v>396</v>
      </c>
      <c r="D186" s="11" t="s">
        <v>256</v>
      </c>
      <c r="E186" s="12">
        <v>54</v>
      </c>
      <c r="F186" s="11" t="s">
        <v>304</v>
      </c>
      <c r="G186" s="11" t="s">
        <v>313</v>
      </c>
      <c r="H186" s="13"/>
    </row>
    <row r="187" spans="1:8" x14ac:dyDescent="0.2">
      <c r="A187" s="14">
        <v>171</v>
      </c>
      <c r="B187" s="15" t="s">
        <v>538</v>
      </c>
      <c r="C187" s="15" t="s">
        <v>143</v>
      </c>
      <c r="D187" s="15" t="s">
        <v>256</v>
      </c>
      <c r="E187" s="16">
        <v>54</v>
      </c>
      <c r="F187" s="15" t="s">
        <v>304</v>
      </c>
      <c r="G187" s="15" t="s">
        <v>126</v>
      </c>
      <c r="H187" s="17"/>
    </row>
    <row r="188" spans="1:8" x14ac:dyDescent="0.2">
      <c r="A188" s="23" t="s">
        <v>539</v>
      </c>
      <c r="B188" s="24"/>
      <c r="C188" s="24"/>
      <c r="D188" s="24"/>
      <c r="E188" s="24"/>
      <c r="F188" s="24"/>
      <c r="G188" s="24"/>
      <c r="H188" s="24"/>
    </row>
    <row r="189" spans="1:8" x14ac:dyDescent="0.2">
      <c r="A189" s="10">
        <v>172</v>
      </c>
      <c r="B189" s="11" t="s">
        <v>540</v>
      </c>
      <c r="C189" s="11" t="s">
        <v>540</v>
      </c>
      <c r="D189" s="11" t="s">
        <v>257</v>
      </c>
      <c r="E189" s="12">
        <v>119</v>
      </c>
      <c r="F189" s="11" t="s">
        <v>304</v>
      </c>
      <c r="G189" s="11" t="s">
        <v>313</v>
      </c>
      <c r="H189" s="13"/>
    </row>
    <row r="190" spans="1:8" x14ac:dyDescent="0.2">
      <c r="A190" s="14">
        <v>173</v>
      </c>
      <c r="B190" s="15" t="s">
        <v>541</v>
      </c>
      <c r="C190" s="15" t="s">
        <v>542</v>
      </c>
      <c r="D190" s="15" t="s">
        <v>257</v>
      </c>
      <c r="E190" s="16">
        <v>110</v>
      </c>
      <c r="F190" s="15" t="s">
        <v>304</v>
      </c>
      <c r="G190" s="15" t="s">
        <v>313</v>
      </c>
      <c r="H190" s="17"/>
    </row>
    <row r="191" spans="1:8" x14ac:dyDescent="0.2">
      <c r="A191" s="10">
        <v>174</v>
      </c>
      <c r="B191" s="11" t="s">
        <v>543</v>
      </c>
      <c r="C191" s="11" t="s">
        <v>544</v>
      </c>
      <c r="D191" s="11" t="s">
        <v>257</v>
      </c>
      <c r="E191" s="12">
        <v>101</v>
      </c>
      <c r="F191" s="11" t="s">
        <v>304</v>
      </c>
      <c r="G191" s="11" t="s">
        <v>313</v>
      </c>
      <c r="H191" s="13"/>
    </row>
    <row r="192" spans="1:8" x14ac:dyDescent="0.2">
      <c r="A192" s="14">
        <v>175</v>
      </c>
      <c r="B192" s="15" t="s">
        <v>545</v>
      </c>
      <c r="C192" s="15" t="s">
        <v>546</v>
      </c>
      <c r="D192" s="15" t="s">
        <v>257</v>
      </c>
      <c r="E192" s="16">
        <v>60</v>
      </c>
      <c r="F192" s="15" t="s">
        <v>304</v>
      </c>
      <c r="G192" s="15" t="s">
        <v>313</v>
      </c>
      <c r="H192" s="17"/>
    </row>
    <row r="193" spans="1:8" x14ac:dyDescent="0.2">
      <c r="A193" s="10">
        <v>176</v>
      </c>
      <c r="B193" s="11" t="s">
        <v>547</v>
      </c>
      <c r="C193" s="11" t="s">
        <v>548</v>
      </c>
      <c r="D193" s="11" t="s">
        <v>257</v>
      </c>
      <c r="E193" s="12">
        <v>60</v>
      </c>
      <c r="F193" s="11" t="s">
        <v>304</v>
      </c>
      <c r="G193" s="11" t="s">
        <v>313</v>
      </c>
      <c r="H193" s="13"/>
    </row>
    <row r="194" spans="1:8" x14ac:dyDescent="0.2">
      <c r="A194" s="14">
        <v>177</v>
      </c>
      <c r="B194" s="15" t="s">
        <v>549</v>
      </c>
      <c r="C194" s="15" t="s">
        <v>550</v>
      </c>
      <c r="D194" s="15" t="s">
        <v>257</v>
      </c>
      <c r="E194" s="16">
        <v>60</v>
      </c>
      <c r="F194" s="15" t="s">
        <v>304</v>
      </c>
      <c r="G194" s="15" t="s">
        <v>313</v>
      </c>
      <c r="H194" s="17"/>
    </row>
    <row r="195" spans="1:8" x14ac:dyDescent="0.2">
      <c r="A195" s="10">
        <v>178</v>
      </c>
      <c r="B195" s="11" t="s">
        <v>551</v>
      </c>
      <c r="C195" s="11" t="s">
        <v>552</v>
      </c>
      <c r="D195" s="11" t="s">
        <v>257</v>
      </c>
      <c r="E195" s="12">
        <v>60</v>
      </c>
      <c r="F195" s="11" t="s">
        <v>304</v>
      </c>
      <c r="G195" s="11" t="s">
        <v>313</v>
      </c>
      <c r="H195" s="13"/>
    </row>
    <row r="196" spans="1:8" x14ac:dyDescent="0.2">
      <c r="A196" s="14">
        <v>179</v>
      </c>
      <c r="B196" s="15" t="s">
        <v>553</v>
      </c>
      <c r="C196" s="15" t="s">
        <v>317</v>
      </c>
      <c r="D196" s="15" t="s">
        <v>257</v>
      </c>
      <c r="E196" s="16">
        <v>40</v>
      </c>
      <c r="F196" s="15" t="s">
        <v>304</v>
      </c>
      <c r="G196" s="15" t="s">
        <v>313</v>
      </c>
      <c r="H196" s="17"/>
    </row>
    <row r="197" spans="1:8" x14ac:dyDescent="0.2">
      <c r="A197" s="23" t="s">
        <v>554</v>
      </c>
      <c r="B197" s="24"/>
      <c r="C197" s="24"/>
      <c r="D197" s="24"/>
      <c r="E197" s="24"/>
      <c r="F197" s="24"/>
      <c r="G197" s="24"/>
      <c r="H197" s="24"/>
    </row>
    <row r="198" spans="1:8" x14ac:dyDescent="0.2">
      <c r="A198" s="10">
        <v>180</v>
      </c>
      <c r="B198" s="11" t="s">
        <v>555</v>
      </c>
      <c r="C198" s="11" t="s">
        <v>312</v>
      </c>
      <c r="D198" s="11" t="s">
        <v>258</v>
      </c>
      <c r="E198" s="12">
        <v>120</v>
      </c>
      <c r="F198" s="11" t="s">
        <v>304</v>
      </c>
      <c r="G198" s="11" t="s">
        <v>313</v>
      </c>
      <c r="H198" s="13"/>
    </row>
    <row r="199" spans="1:8" x14ac:dyDescent="0.2">
      <c r="A199" s="14">
        <v>181</v>
      </c>
      <c r="B199" s="15" t="s">
        <v>556</v>
      </c>
      <c r="C199" s="15" t="s">
        <v>557</v>
      </c>
      <c r="D199" s="15" t="s">
        <v>258</v>
      </c>
      <c r="E199" s="16">
        <v>101</v>
      </c>
      <c r="F199" s="15" t="s">
        <v>304</v>
      </c>
      <c r="G199" s="15" t="s">
        <v>313</v>
      </c>
      <c r="H199" s="17"/>
    </row>
    <row r="200" spans="1:8" x14ac:dyDescent="0.2">
      <c r="A200" s="10">
        <v>182</v>
      </c>
      <c r="B200" s="11" t="s">
        <v>558</v>
      </c>
      <c r="C200" s="11" t="s">
        <v>184</v>
      </c>
      <c r="D200" s="11" t="s">
        <v>258</v>
      </c>
      <c r="E200" s="12">
        <v>91</v>
      </c>
      <c r="F200" s="11" t="s">
        <v>304</v>
      </c>
      <c r="G200" s="11" t="s">
        <v>97</v>
      </c>
      <c r="H200" s="13"/>
    </row>
    <row r="201" spans="1:8" x14ac:dyDescent="0.2">
      <c r="A201" s="14">
        <v>183</v>
      </c>
      <c r="B201" s="15" t="s">
        <v>559</v>
      </c>
      <c r="C201" s="15" t="s">
        <v>125</v>
      </c>
      <c r="D201" s="15" t="s">
        <v>258</v>
      </c>
      <c r="E201" s="16">
        <v>68</v>
      </c>
      <c r="F201" s="15" t="s">
        <v>304</v>
      </c>
      <c r="G201" s="15" t="s">
        <v>126</v>
      </c>
      <c r="H201" s="17"/>
    </row>
    <row r="202" spans="1:8" x14ac:dyDescent="0.2">
      <c r="A202" s="10">
        <v>184</v>
      </c>
      <c r="B202" s="11" t="s">
        <v>560</v>
      </c>
      <c r="C202" s="11" t="s">
        <v>560</v>
      </c>
      <c r="D202" s="11" t="s">
        <v>258</v>
      </c>
      <c r="E202" s="12">
        <v>60</v>
      </c>
      <c r="F202" s="11" t="s">
        <v>304</v>
      </c>
      <c r="G202" s="11" t="s">
        <v>313</v>
      </c>
      <c r="H202" s="13"/>
    </row>
    <row r="203" spans="1:8" x14ac:dyDescent="0.2">
      <c r="A203" s="14">
        <v>185</v>
      </c>
      <c r="B203" s="15" t="s">
        <v>561</v>
      </c>
      <c r="C203" s="15" t="s">
        <v>158</v>
      </c>
      <c r="D203" s="15" t="s">
        <v>258</v>
      </c>
      <c r="E203" s="16">
        <v>57</v>
      </c>
      <c r="F203" s="15" t="s">
        <v>304</v>
      </c>
      <c r="G203" s="15" t="s">
        <v>97</v>
      </c>
      <c r="H203" s="17"/>
    </row>
    <row r="204" spans="1:8" x14ac:dyDescent="0.2">
      <c r="A204" s="10">
        <v>186</v>
      </c>
      <c r="B204" s="11" t="s">
        <v>562</v>
      </c>
      <c r="C204" s="11" t="s">
        <v>563</v>
      </c>
      <c r="D204" s="11" t="s">
        <v>258</v>
      </c>
      <c r="E204" s="12">
        <v>54</v>
      </c>
      <c r="F204" s="11" t="s">
        <v>304</v>
      </c>
      <c r="G204" s="11" t="s">
        <v>313</v>
      </c>
      <c r="H204" s="13"/>
    </row>
    <row r="205" spans="1:8" x14ac:dyDescent="0.2">
      <c r="A205" s="14">
        <v>187</v>
      </c>
      <c r="B205" s="15" t="s">
        <v>564</v>
      </c>
      <c r="C205" s="15" t="s">
        <v>125</v>
      </c>
      <c r="D205" s="15" t="s">
        <v>258</v>
      </c>
      <c r="E205" s="16">
        <v>45</v>
      </c>
      <c r="F205" s="15" t="s">
        <v>304</v>
      </c>
      <c r="G205" s="15" t="s">
        <v>126</v>
      </c>
      <c r="H205" s="17"/>
    </row>
    <row r="206" spans="1:8" x14ac:dyDescent="0.2">
      <c r="A206" s="23" t="s">
        <v>565</v>
      </c>
      <c r="B206" s="24"/>
      <c r="C206" s="24"/>
      <c r="D206" s="24"/>
      <c r="E206" s="24"/>
      <c r="F206" s="24"/>
      <c r="G206" s="24"/>
      <c r="H206" s="24"/>
    </row>
    <row r="207" spans="1:8" x14ac:dyDescent="0.2">
      <c r="A207" s="10">
        <v>188</v>
      </c>
      <c r="B207" s="11" t="s">
        <v>566</v>
      </c>
      <c r="C207" s="11" t="s">
        <v>106</v>
      </c>
      <c r="D207" s="11" t="s">
        <v>259</v>
      </c>
      <c r="E207" s="12">
        <v>180</v>
      </c>
      <c r="F207" s="11" t="s">
        <v>304</v>
      </c>
      <c r="G207" s="11" t="s">
        <v>97</v>
      </c>
      <c r="H207" s="13" t="s">
        <v>567</v>
      </c>
    </row>
    <row r="208" spans="1:8" x14ac:dyDescent="0.2">
      <c r="A208" s="14">
        <v>189</v>
      </c>
      <c r="B208" s="15" t="s">
        <v>568</v>
      </c>
      <c r="C208" s="15" t="s">
        <v>569</v>
      </c>
      <c r="D208" s="15" t="s">
        <v>259</v>
      </c>
      <c r="E208" s="16">
        <v>120</v>
      </c>
      <c r="F208" s="15" t="s">
        <v>304</v>
      </c>
      <c r="G208" s="15" t="s">
        <v>313</v>
      </c>
      <c r="H208" s="17"/>
    </row>
    <row r="209" spans="1:8" x14ac:dyDescent="0.2">
      <c r="A209" s="10">
        <v>190</v>
      </c>
      <c r="B209" s="11" t="s">
        <v>570</v>
      </c>
      <c r="C209" s="11" t="s">
        <v>571</v>
      </c>
      <c r="D209" s="11" t="s">
        <v>259</v>
      </c>
      <c r="E209" s="12">
        <v>105</v>
      </c>
      <c r="F209" s="11" t="s">
        <v>304</v>
      </c>
      <c r="G209" s="11" t="s">
        <v>313</v>
      </c>
      <c r="H209" s="13"/>
    </row>
    <row r="210" spans="1:8" x14ac:dyDescent="0.2">
      <c r="A210" s="14">
        <v>191</v>
      </c>
      <c r="B210" s="15" t="s">
        <v>572</v>
      </c>
      <c r="C210" s="15" t="s">
        <v>573</v>
      </c>
      <c r="D210" s="15" t="s">
        <v>259</v>
      </c>
      <c r="E210" s="16">
        <v>89</v>
      </c>
      <c r="F210" s="15" t="s">
        <v>304</v>
      </c>
      <c r="G210" s="15" t="s">
        <v>313</v>
      </c>
      <c r="H210" s="17"/>
    </row>
    <row r="211" spans="1:8" x14ac:dyDescent="0.2">
      <c r="A211" s="10">
        <v>192</v>
      </c>
      <c r="B211" s="11" t="s">
        <v>574</v>
      </c>
      <c r="C211" s="11" t="s">
        <v>546</v>
      </c>
      <c r="D211" s="11" t="s">
        <v>259</v>
      </c>
      <c r="E211" s="12">
        <v>60</v>
      </c>
      <c r="F211" s="11" t="s">
        <v>304</v>
      </c>
      <c r="G211" s="11" t="s">
        <v>313</v>
      </c>
      <c r="H211" s="13"/>
    </row>
    <row r="212" spans="1:8" x14ac:dyDescent="0.2">
      <c r="A212" s="23" t="s">
        <v>575</v>
      </c>
      <c r="B212" s="24"/>
      <c r="C212" s="24"/>
      <c r="D212" s="24"/>
      <c r="E212" s="24"/>
      <c r="F212" s="24"/>
      <c r="G212" s="24"/>
      <c r="H212" s="24"/>
    </row>
    <row r="213" spans="1:8" x14ac:dyDescent="0.2">
      <c r="A213" s="10">
        <v>193</v>
      </c>
      <c r="B213" s="11" t="s">
        <v>576</v>
      </c>
      <c r="C213" s="11" t="s">
        <v>131</v>
      </c>
      <c r="D213" s="11" t="s">
        <v>261</v>
      </c>
      <c r="E213" s="12">
        <v>130</v>
      </c>
      <c r="F213" s="11" t="s">
        <v>304</v>
      </c>
      <c r="G213" s="11" t="s">
        <v>126</v>
      </c>
      <c r="H213" s="13"/>
    </row>
    <row r="214" spans="1:8" x14ac:dyDescent="0.2">
      <c r="A214" s="14">
        <v>194</v>
      </c>
      <c r="B214" s="15" t="s">
        <v>577</v>
      </c>
      <c r="C214" s="15" t="s">
        <v>134</v>
      </c>
      <c r="D214" s="15" t="s">
        <v>261</v>
      </c>
      <c r="E214" s="16">
        <v>120</v>
      </c>
      <c r="F214" s="15" t="s">
        <v>304</v>
      </c>
      <c r="G214" s="15" t="s">
        <v>126</v>
      </c>
      <c r="H214" s="17"/>
    </row>
    <row r="215" spans="1:8" x14ac:dyDescent="0.2">
      <c r="A215" s="10">
        <v>195</v>
      </c>
      <c r="B215" s="11" t="s">
        <v>578</v>
      </c>
      <c r="C215" s="11" t="s">
        <v>131</v>
      </c>
      <c r="D215" s="11" t="s">
        <v>261</v>
      </c>
      <c r="E215" s="12">
        <v>100</v>
      </c>
      <c r="F215" s="11" t="s">
        <v>304</v>
      </c>
      <c r="G215" s="11" t="s">
        <v>126</v>
      </c>
      <c r="H215" s="13"/>
    </row>
    <row r="216" spans="1:8" x14ac:dyDescent="0.2">
      <c r="A216" s="14">
        <v>196</v>
      </c>
      <c r="B216" s="15" t="s">
        <v>579</v>
      </c>
      <c r="C216" s="15" t="s">
        <v>131</v>
      </c>
      <c r="D216" s="15" t="s">
        <v>261</v>
      </c>
      <c r="E216" s="16">
        <v>90</v>
      </c>
      <c r="F216" s="15" t="s">
        <v>304</v>
      </c>
      <c r="G216" s="15" t="s">
        <v>126</v>
      </c>
      <c r="H216" s="17"/>
    </row>
    <row r="217" spans="1:8" x14ac:dyDescent="0.2">
      <c r="A217" s="10">
        <v>197</v>
      </c>
      <c r="B217" s="11" t="s">
        <v>580</v>
      </c>
      <c r="C217" s="11" t="s">
        <v>332</v>
      </c>
      <c r="D217" s="11" t="s">
        <v>261</v>
      </c>
      <c r="E217" s="12">
        <v>60</v>
      </c>
      <c r="F217" s="11" t="s">
        <v>304</v>
      </c>
      <c r="G217" s="11" t="s">
        <v>126</v>
      </c>
      <c r="H217" s="13" t="s">
        <v>581</v>
      </c>
    </row>
    <row r="218" spans="1:8" x14ac:dyDescent="0.2">
      <c r="A218" s="23" t="s">
        <v>582</v>
      </c>
      <c r="B218" s="24"/>
      <c r="C218" s="24"/>
      <c r="D218" s="24"/>
      <c r="E218" s="24"/>
      <c r="F218" s="24"/>
      <c r="G218" s="24"/>
      <c r="H218" s="24"/>
    </row>
    <row r="219" spans="1:8" x14ac:dyDescent="0.2">
      <c r="A219" s="10">
        <v>198</v>
      </c>
      <c r="B219" s="11" t="s">
        <v>583</v>
      </c>
      <c r="C219" s="11" t="s">
        <v>95</v>
      </c>
      <c r="D219" s="11" t="s">
        <v>263</v>
      </c>
      <c r="E219" s="12">
        <v>172</v>
      </c>
      <c r="F219" s="11" t="s">
        <v>460</v>
      </c>
      <c r="G219" s="11" t="s">
        <v>97</v>
      </c>
      <c r="H219" s="13"/>
    </row>
    <row r="220" spans="1:8" x14ac:dyDescent="0.2">
      <c r="A220" s="14">
        <v>199</v>
      </c>
      <c r="B220" s="15" t="s">
        <v>584</v>
      </c>
      <c r="C220" s="15" t="s">
        <v>158</v>
      </c>
      <c r="D220" s="15" t="s">
        <v>263</v>
      </c>
      <c r="E220" s="16">
        <v>164</v>
      </c>
      <c r="F220" s="15" t="s">
        <v>460</v>
      </c>
      <c r="G220" s="15" t="s">
        <v>97</v>
      </c>
      <c r="H220" s="17" t="s">
        <v>585</v>
      </c>
    </row>
    <row r="221" spans="1:8" x14ac:dyDescent="0.2">
      <c r="A221" s="10">
        <v>200</v>
      </c>
      <c r="B221" s="11" t="s">
        <v>586</v>
      </c>
      <c r="C221" s="11" t="s">
        <v>345</v>
      </c>
      <c r="D221" s="11" t="s">
        <v>263</v>
      </c>
      <c r="E221" s="12">
        <v>146</v>
      </c>
      <c r="F221" s="11" t="s">
        <v>460</v>
      </c>
      <c r="G221" s="11" t="s">
        <v>97</v>
      </c>
      <c r="H221" s="13" t="s">
        <v>585</v>
      </c>
    </row>
    <row r="222" spans="1:8" x14ac:dyDescent="0.2">
      <c r="A222" s="14">
        <v>201</v>
      </c>
      <c r="B222" s="15" t="s">
        <v>587</v>
      </c>
      <c r="C222" s="15" t="s">
        <v>158</v>
      </c>
      <c r="D222" s="15" t="s">
        <v>263</v>
      </c>
      <c r="E222" s="16"/>
      <c r="F222" s="15" t="s">
        <v>460</v>
      </c>
      <c r="G222" s="15" t="s">
        <v>97</v>
      </c>
      <c r="H222" s="17" t="s">
        <v>588</v>
      </c>
    </row>
    <row r="223" spans="1:8" x14ac:dyDescent="0.2">
      <c r="A223" s="10">
        <v>202</v>
      </c>
      <c r="B223" s="11" t="s">
        <v>589</v>
      </c>
      <c r="C223" s="11" t="s">
        <v>217</v>
      </c>
      <c r="D223" s="11" t="s">
        <v>263</v>
      </c>
      <c r="E223" s="12"/>
      <c r="F223" s="11" t="s">
        <v>460</v>
      </c>
      <c r="G223" s="11" t="s">
        <v>97</v>
      </c>
      <c r="H223" s="13" t="s">
        <v>588</v>
      </c>
    </row>
    <row r="224" spans="1:8" x14ac:dyDescent="0.2">
      <c r="A224" s="23" t="s">
        <v>590</v>
      </c>
      <c r="B224" s="24"/>
      <c r="C224" s="24"/>
      <c r="D224" s="24"/>
      <c r="E224" s="24"/>
      <c r="F224" s="24"/>
      <c r="G224" s="24"/>
      <c r="H224" s="24"/>
    </row>
    <row r="225" spans="1:8" x14ac:dyDescent="0.2">
      <c r="A225" s="10">
        <v>203</v>
      </c>
      <c r="B225" s="11" t="s">
        <v>591</v>
      </c>
      <c r="C225" s="11" t="s">
        <v>464</v>
      </c>
      <c r="D225" s="11" t="s">
        <v>265</v>
      </c>
      <c r="E225" s="12">
        <v>164</v>
      </c>
      <c r="F225" s="11" t="s">
        <v>477</v>
      </c>
      <c r="G225" s="11" t="s">
        <v>97</v>
      </c>
      <c r="H225" s="13" t="s">
        <v>592</v>
      </c>
    </row>
    <row r="226" spans="1:8" x14ac:dyDescent="0.2">
      <c r="A226" s="14">
        <v>204</v>
      </c>
      <c r="B226" s="15" t="s">
        <v>593</v>
      </c>
      <c r="C226" s="15" t="s">
        <v>125</v>
      </c>
      <c r="D226" s="15" t="s">
        <v>265</v>
      </c>
      <c r="E226" s="16">
        <v>116</v>
      </c>
      <c r="F226" s="15" t="s">
        <v>594</v>
      </c>
      <c r="G226" s="15" t="s">
        <v>126</v>
      </c>
      <c r="H226" s="17"/>
    </row>
    <row r="227" spans="1:8" x14ac:dyDescent="0.2">
      <c r="A227" s="10">
        <v>205</v>
      </c>
      <c r="B227" s="11" t="s">
        <v>595</v>
      </c>
      <c r="C227" s="11" t="s">
        <v>95</v>
      </c>
      <c r="D227" s="11" t="s">
        <v>265</v>
      </c>
      <c r="E227" s="12">
        <v>71</v>
      </c>
      <c r="F227" s="11" t="s">
        <v>447</v>
      </c>
      <c r="G227" s="11" t="s">
        <v>97</v>
      </c>
      <c r="H227" s="13"/>
    </row>
    <row r="228" spans="1:8" x14ac:dyDescent="0.2">
      <c r="A228" s="14">
        <v>206</v>
      </c>
      <c r="B228" s="15" t="s">
        <v>596</v>
      </c>
      <c r="C228" s="15" t="s">
        <v>95</v>
      </c>
      <c r="D228" s="15" t="s">
        <v>265</v>
      </c>
      <c r="E228" s="16">
        <v>63</v>
      </c>
      <c r="F228" s="15" t="s">
        <v>477</v>
      </c>
      <c r="G228" s="15" t="s">
        <v>97</v>
      </c>
      <c r="H228" s="17" t="s">
        <v>597</v>
      </c>
    </row>
    <row r="229" spans="1:8" x14ac:dyDescent="0.2">
      <c r="A229" s="10">
        <v>207</v>
      </c>
      <c r="B229" s="11" t="s">
        <v>598</v>
      </c>
      <c r="C229" s="11" t="s">
        <v>464</v>
      </c>
      <c r="D229" s="11" t="s">
        <v>265</v>
      </c>
      <c r="E229" s="12">
        <v>25</v>
      </c>
      <c r="F229" s="11" t="s">
        <v>477</v>
      </c>
      <c r="G229" s="11" t="s">
        <v>97</v>
      </c>
      <c r="H229" s="13" t="s">
        <v>599</v>
      </c>
    </row>
    <row r="230" spans="1:8" x14ac:dyDescent="0.2">
      <c r="A230" s="14">
        <v>208</v>
      </c>
      <c r="B230" s="15" t="s">
        <v>600</v>
      </c>
      <c r="C230" s="15" t="s">
        <v>396</v>
      </c>
      <c r="D230" s="15" t="s">
        <v>265</v>
      </c>
      <c r="E230" s="16"/>
      <c r="F230" s="15" t="s">
        <v>460</v>
      </c>
      <c r="G230" s="15" t="s">
        <v>313</v>
      </c>
      <c r="H230" s="17"/>
    </row>
    <row r="231" spans="1:8" x14ac:dyDescent="0.2">
      <c r="A231" s="10">
        <v>209</v>
      </c>
      <c r="B231" s="11" t="s">
        <v>601</v>
      </c>
      <c r="C231" s="11" t="s">
        <v>602</v>
      </c>
      <c r="D231" s="11" t="s">
        <v>265</v>
      </c>
      <c r="E231" s="12"/>
      <c r="F231" s="11" t="s">
        <v>447</v>
      </c>
      <c r="G231" s="11" t="s">
        <v>126</v>
      </c>
      <c r="H231" s="13"/>
    </row>
    <row r="232" spans="1:8" x14ac:dyDescent="0.2">
      <c r="A232" s="23" t="s">
        <v>603</v>
      </c>
      <c r="B232" s="24"/>
      <c r="C232" s="24"/>
      <c r="D232" s="24"/>
      <c r="E232" s="24"/>
      <c r="F232" s="24"/>
      <c r="G232" s="24"/>
      <c r="H232" s="24"/>
    </row>
    <row r="233" spans="1:8" x14ac:dyDescent="0.2">
      <c r="A233" s="10">
        <v>210</v>
      </c>
      <c r="B233" s="11" t="s">
        <v>604</v>
      </c>
      <c r="C233" s="11" t="s">
        <v>95</v>
      </c>
      <c r="D233" s="11" t="s">
        <v>267</v>
      </c>
      <c r="E233" s="12">
        <v>100</v>
      </c>
      <c r="F233" s="11" t="s">
        <v>484</v>
      </c>
      <c r="G233" s="11" t="s">
        <v>97</v>
      </c>
      <c r="H233" s="13"/>
    </row>
    <row r="234" spans="1:8" x14ac:dyDescent="0.2">
      <c r="A234" s="14">
        <v>211</v>
      </c>
      <c r="B234" s="15" t="s">
        <v>605</v>
      </c>
      <c r="C234" s="15" t="s">
        <v>175</v>
      </c>
      <c r="D234" s="15" t="s">
        <v>267</v>
      </c>
      <c r="E234" s="16">
        <v>90</v>
      </c>
      <c r="F234" s="15" t="s">
        <v>460</v>
      </c>
      <c r="G234" s="15" t="s">
        <v>97</v>
      </c>
      <c r="H234" s="17"/>
    </row>
    <row r="235" spans="1:8" x14ac:dyDescent="0.2">
      <c r="A235" s="10">
        <v>212</v>
      </c>
      <c r="B235" s="11" t="s">
        <v>606</v>
      </c>
      <c r="C235" s="11" t="s">
        <v>181</v>
      </c>
      <c r="D235" s="11" t="s">
        <v>267</v>
      </c>
      <c r="E235" s="12">
        <v>88</v>
      </c>
      <c r="F235" s="11" t="s">
        <v>477</v>
      </c>
      <c r="G235" s="11" t="s">
        <v>97</v>
      </c>
      <c r="H235" s="13" t="s">
        <v>607</v>
      </c>
    </row>
    <row r="236" spans="1:8" x14ac:dyDescent="0.2">
      <c r="A236" s="14">
        <v>213</v>
      </c>
      <c r="B236" s="15" t="s">
        <v>608</v>
      </c>
      <c r="C236" s="15" t="s">
        <v>95</v>
      </c>
      <c r="D236" s="15" t="s">
        <v>267</v>
      </c>
      <c r="E236" s="16">
        <v>85</v>
      </c>
      <c r="F236" s="15" t="s">
        <v>460</v>
      </c>
      <c r="G236" s="15" t="s">
        <v>97</v>
      </c>
      <c r="H236" s="17"/>
    </row>
    <row r="237" spans="1:8" x14ac:dyDescent="0.2">
      <c r="A237" s="10">
        <v>214</v>
      </c>
      <c r="B237" s="11" t="s">
        <v>609</v>
      </c>
      <c r="C237" s="11" t="s">
        <v>181</v>
      </c>
      <c r="D237" s="11" t="s">
        <v>267</v>
      </c>
      <c r="E237" s="12">
        <v>70</v>
      </c>
      <c r="F237" s="11" t="s">
        <v>460</v>
      </c>
      <c r="G237" s="11" t="s">
        <v>97</v>
      </c>
      <c r="H237" s="13"/>
    </row>
    <row r="238" spans="1:8" x14ac:dyDescent="0.2">
      <c r="A238" s="14">
        <v>215</v>
      </c>
      <c r="B238" s="15" t="s">
        <v>610</v>
      </c>
      <c r="C238" s="15" t="s">
        <v>181</v>
      </c>
      <c r="D238" s="15" t="s">
        <v>267</v>
      </c>
      <c r="E238" s="16"/>
      <c r="F238" s="15" t="s">
        <v>472</v>
      </c>
      <c r="G238" s="15" t="s">
        <v>97</v>
      </c>
      <c r="H238" s="17" t="s">
        <v>473</v>
      </c>
    </row>
    <row r="239" spans="1:8" x14ac:dyDescent="0.2">
      <c r="A239" s="23" t="s">
        <v>611</v>
      </c>
      <c r="B239" s="24"/>
      <c r="C239" s="24"/>
      <c r="D239" s="24"/>
      <c r="E239" s="24"/>
      <c r="F239" s="24"/>
      <c r="G239" s="24"/>
      <c r="H239" s="24"/>
    </row>
    <row r="240" spans="1:8" x14ac:dyDescent="0.2">
      <c r="A240" s="10">
        <v>216</v>
      </c>
      <c r="B240" s="11" t="s">
        <v>612</v>
      </c>
      <c r="C240" s="11" t="s">
        <v>125</v>
      </c>
      <c r="D240" s="11" t="s">
        <v>269</v>
      </c>
      <c r="E240" s="12">
        <v>109</v>
      </c>
      <c r="F240" s="11" t="s">
        <v>460</v>
      </c>
      <c r="G240" s="11" t="s">
        <v>126</v>
      </c>
      <c r="H240" s="13"/>
    </row>
    <row r="241" spans="1:8" x14ac:dyDescent="0.2">
      <c r="A241" s="14">
        <v>217</v>
      </c>
      <c r="B241" s="15" t="s">
        <v>613</v>
      </c>
      <c r="C241" s="15" t="s">
        <v>312</v>
      </c>
      <c r="D241" s="15" t="s">
        <v>269</v>
      </c>
      <c r="E241" s="16">
        <v>106</v>
      </c>
      <c r="F241" s="15" t="s">
        <v>460</v>
      </c>
      <c r="G241" s="15" t="s">
        <v>313</v>
      </c>
      <c r="H241" s="17"/>
    </row>
    <row r="242" spans="1:8" x14ac:dyDescent="0.2">
      <c r="A242" s="10">
        <v>218</v>
      </c>
      <c r="B242" s="11" t="s">
        <v>614</v>
      </c>
      <c r="C242" s="11" t="s">
        <v>112</v>
      </c>
      <c r="D242" s="11" t="s">
        <v>269</v>
      </c>
      <c r="E242" s="12">
        <v>95</v>
      </c>
      <c r="F242" s="11" t="s">
        <v>460</v>
      </c>
      <c r="G242" s="11" t="s">
        <v>97</v>
      </c>
      <c r="H242" s="13"/>
    </row>
    <row r="243" spans="1:8" x14ac:dyDescent="0.2">
      <c r="A243" s="14">
        <v>219</v>
      </c>
      <c r="B243" s="15" t="s">
        <v>615</v>
      </c>
      <c r="C243" s="15" t="s">
        <v>464</v>
      </c>
      <c r="D243" s="15" t="s">
        <v>269</v>
      </c>
      <c r="E243" s="16">
        <v>94</v>
      </c>
      <c r="F243" s="15" t="s">
        <v>460</v>
      </c>
      <c r="G243" s="15" t="s">
        <v>97</v>
      </c>
      <c r="H243" s="17"/>
    </row>
    <row r="244" spans="1:8" x14ac:dyDescent="0.2">
      <c r="A244" s="23" t="s">
        <v>616</v>
      </c>
      <c r="B244" s="24"/>
      <c r="C244" s="24"/>
      <c r="D244" s="24"/>
      <c r="E244" s="24"/>
      <c r="F244" s="24"/>
      <c r="G244" s="24"/>
      <c r="H244" s="24"/>
    </row>
    <row r="245" spans="1:8" x14ac:dyDescent="0.2">
      <c r="A245" s="10">
        <v>220</v>
      </c>
      <c r="B245" s="11" t="s">
        <v>617</v>
      </c>
      <c r="C245" s="11" t="s">
        <v>143</v>
      </c>
      <c r="D245" s="11" t="s">
        <v>270</v>
      </c>
      <c r="E245" s="12">
        <v>116</v>
      </c>
      <c r="F245" s="11" t="s">
        <v>304</v>
      </c>
      <c r="G245" s="11" t="s">
        <v>126</v>
      </c>
      <c r="H245" s="13"/>
    </row>
    <row r="246" spans="1:8" x14ac:dyDescent="0.2">
      <c r="A246" s="14">
        <v>221</v>
      </c>
      <c r="B246" s="15" t="s">
        <v>618</v>
      </c>
      <c r="C246" s="15" t="s">
        <v>312</v>
      </c>
      <c r="D246" s="15" t="s">
        <v>270</v>
      </c>
      <c r="E246" s="16">
        <v>90</v>
      </c>
      <c r="F246" s="15" t="s">
        <v>304</v>
      </c>
      <c r="G246" s="15" t="s">
        <v>313</v>
      </c>
      <c r="H246" s="17"/>
    </row>
    <row r="247" spans="1:8" x14ac:dyDescent="0.2">
      <c r="A247" s="10">
        <v>222</v>
      </c>
      <c r="B247" s="11" t="s">
        <v>619</v>
      </c>
      <c r="C247" s="11" t="s">
        <v>140</v>
      </c>
      <c r="D247" s="11" t="s">
        <v>270</v>
      </c>
      <c r="E247" s="12">
        <v>84</v>
      </c>
      <c r="F247" s="11" t="s">
        <v>304</v>
      </c>
      <c r="G247" s="11" t="s">
        <v>97</v>
      </c>
      <c r="H247" s="13"/>
    </row>
    <row r="248" spans="1:8" x14ac:dyDescent="0.2">
      <c r="A248" s="14">
        <v>223</v>
      </c>
      <c r="B248" s="15" t="s">
        <v>620</v>
      </c>
      <c r="C248" s="15" t="s">
        <v>379</v>
      </c>
      <c r="D248" s="15" t="s">
        <v>270</v>
      </c>
      <c r="E248" s="16">
        <v>68</v>
      </c>
      <c r="F248" s="15" t="s">
        <v>304</v>
      </c>
      <c r="G248" s="15" t="s">
        <v>313</v>
      </c>
      <c r="H248" s="17"/>
    </row>
    <row r="249" spans="1:8" x14ac:dyDescent="0.2">
      <c r="A249" s="10">
        <v>224</v>
      </c>
      <c r="B249" s="11" t="s">
        <v>621</v>
      </c>
      <c r="C249" s="11" t="s">
        <v>622</v>
      </c>
      <c r="D249" s="11" t="s">
        <v>270</v>
      </c>
      <c r="E249" s="12">
        <v>31</v>
      </c>
      <c r="F249" s="11" t="s">
        <v>304</v>
      </c>
      <c r="G249" s="11" t="s">
        <v>313</v>
      </c>
      <c r="H249" s="13"/>
    </row>
    <row r="250" spans="1:8" x14ac:dyDescent="0.2">
      <c r="A250" s="23" t="s">
        <v>623</v>
      </c>
      <c r="B250" s="24"/>
      <c r="C250" s="24"/>
      <c r="D250" s="24"/>
      <c r="E250" s="24"/>
      <c r="F250" s="24"/>
      <c r="G250" s="24"/>
      <c r="H250" s="24"/>
    </row>
    <row r="251" spans="1:8" x14ac:dyDescent="0.2">
      <c r="A251" s="10">
        <v>225</v>
      </c>
      <c r="B251" s="11" t="s">
        <v>624</v>
      </c>
      <c r="C251" s="11" t="s">
        <v>106</v>
      </c>
      <c r="D251" s="11" t="s">
        <v>271</v>
      </c>
      <c r="E251" s="12">
        <v>110</v>
      </c>
      <c r="F251" s="11" t="s">
        <v>304</v>
      </c>
      <c r="G251" s="11" t="s">
        <v>97</v>
      </c>
      <c r="H251" s="13"/>
    </row>
    <row r="252" spans="1:8" x14ac:dyDescent="0.2">
      <c r="A252" s="14">
        <v>226</v>
      </c>
      <c r="B252" s="15" t="s">
        <v>625</v>
      </c>
      <c r="C252" s="15" t="s">
        <v>106</v>
      </c>
      <c r="D252" s="15" t="s">
        <v>271</v>
      </c>
      <c r="E252" s="16">
        <v>108</v>
      </c>
      <c r="F252" s="15" t="s">
        <v>304</v>
      </c>
      <c r="G252" s="15" t="s">
        <v>97</v>
      </c>
      <c r="H252" s="17"/>
    </row>
    <row r="253" spans="1:8" x14ac:dyDescent="0.2">
      <c r="A253" s="10">
        <v>227</v>
      </c>
      <c r="B253" s="11" t="s">
        <v>626</v>
      </c>
      <c r="C253" s="11" t="s">
        <v>95</v>
      </c>
      <c r="D253" s="11" t="s">
        <v>271</v>
      </c>
      <c r="E253" s="12">
        <v>60</v>
      </c>
      <c r="F253" s="11" t="s">
        <v>304</v>
      </c>
      <c r="G253" s="11" t="s">
        <v>97</v>
      </c>
      <c r="H253" s="13"/>
    </row>
    <row r="254" spans="1:8" x14ac:dyDescent="0.2">
      <c r="A254" s="14">
        <v>228</v>
      </c>
      <c r="B254" s="15" t="s">
        <v>627</v>
      </c>
      <c r="C254" s="15" t="s">
        <v>131</v>
      </c>
      <c r="D254" s="15" t="s">
        <v>271</v>
      </c>
      <c r="E254" s="16">
        <v>60</v>
      </c>
      <c r="F254" s="15" t="s">
        <v>304</v>
      </c>
      <c r="G254" s="15" t="s">
        <v>126</v>
      </c>
      <c r="H254" s="17"/>
    </row>
    <row r="255" spans="1:8" x14ac:dyDescent="0.2">
      <c r="A255" s="23" t="s">
        <v>628</v>
      </c>
      <c r="B255" s="24"/>
      <c r="C255" s="24"/>
      <c r="D255" s="24"/>
      <c r="E255" s="24"/>
      <c r="F255" s="24"/>
      <c r="G255" s="24"/>
      <c r="H255" s="24"/>
    </row>
    <row r="256" spans="1:8" x14ac:dyDescent="0.2">
      <c r="A256" s="10">
        <v>229</v>
      </c>
      <c r="B256" s="11" t="s">
        <v>629</v>
      </c>
      <c r="C256" s="11" t="s">
        <v>193</v>
      </c>
      <c r="D256" s="11" t="s">
        <v>272</v>
      </c>
      <c r="E256" s="12">
        <v>237</v>
      </c>
      <c r="F256" s="11" t="s">
        <v>630</v>
      </c>
      <c r="G256" s="11" t="s">
        <v>97</v>
      </c>
      <c r="H256" s="13" t="s">
        <v>631</v>
      </c>
    </row>
    <row r="257" spans="1:8" x14ac:dyDescent="0.2">
      <c r="A257" s="14">
        <v>230</v>
      </c>
      <c r="B257" s="15" t="s">
        <v>632</v>
      </c>
      <c r="C257" s="15" t="s">
        <v>95</v>
      </c>
      <c r="D257" s="15" t="s">
        <v>272</v>
      </c>
      <c r="E257" s="16">
        <v>86</v>
      </c>
      <c r="F257" s="15" t="s">
        <v>304</v>
      </c>
      <c r="G257" s="15" t="s">
        <v>97</v>
      </c>
      <c r="H257" s="17"/>
    </row>
    <row r="258" spans="1:8" x14ac:dyDescent="0.2">
      <c r="A258" s="23" t="s">
        <v>633</v>
      </c>
      <c r="B258" s="24"/>
      <c r="C258" s="24"/>
      <c r="D258" s="24"/>
      <c r="E258" s="24"/>
      <c r="F258" s="24"/>
      <c r="G258" s="24"/>
      <c r="H258" s="24"/>
    </row>
    <row r="259" spans="1:8" x14ac:dyDescent="0.2">
      <c r="A259" s="10">
        <v>231</v>
      </c>
      <c r="B259" s="11" t="s">
        <v>634</v>
      </c>
      <c r="C259" s="11" t="s">
        <v>137</v>
      </c>
      <c r="D259" s="11" t="s">
        <v>273</v>
      </c>
      <c r="E259" s="12">
        <v>316</v>
      </c>
      <c r="F259" s="11" t="s">
        <v>477</v>
      </c>
      <c r="G259" s="11" t="s">
        <v>97</v>
      </c>
      <c r="H259" s="13" t="s">
        <v>635</v>
      </c>
    </row>
    <row r="260" spans="1:8" x14ac:dyDescent="0.2">
      <c r="A260" s="23" t="s">
        <v>636</v>
      </c>
      <c r="B260" s="24"/>
      <c r="C260" s="24"/>
      <c r="D260" s="24"/>
      <c r="E260" s="24"/>
      <c r="F260" s="24"/>
      <c r="G260" s="24"/>
      <c r="H260" s="24"/>
    </row>
    <row r="261" spans="1:8" x14ac:dyDescent="0.2">
      <c r="A261" s="10">
        <v>232</v>
      </c>
      <c r="B261" s="11" t="s">
        <v>275</v>
      </c>
      <c r="C261" s="11" t="s">
        <v>158</v>
      </c>
      <c r="D261" s="11" t="s">
        <v>275</v>
      </c>
      <c r="E261" s="12">
        <v>300</v>
      </c>
      <c r="F261" s="11" t="s">
        <v>493</v>
      </c>
      <c r="G261" s="11" t="s">
        <v>97</v>
      </c>
      <c r="H261" s="13" t="s">
        <v>637</v>
      </c>
    </row>
    <row r="262" spans="1:8" x14ac:dyDescent="0.2">
      <c r="A262" s="23" t="s">
        <v>638</v>
      </c>
      <c r="B262" s="24"/>
      <c r="C262" s="24"/>
      <c r="D262" s="24"/>
      <c r="E262" s="24"/>
      <c r="F262" s="24"/>
      <c r="G262" s="24"/>
      <c r="H262" s="24"/>
    </row>
    <row r="263" spans="1:8" x14ac:dyDescent="0.2">
      <c r="A263" s="10">
        <v>233</v>
      </c>
      <c r="B263" s="11" t="s">
        <v>639</v>
      </c>
      <c r="C263" s="11" t="s">
        <v>134</v>
      </c>
      <c r="D263" s="11" t="s">
        <v>276</v>
      </c>
      <c r="E263" s="12">
        <v>164</v>
      </c>
      <c r="F263" s="11" t="s">
        <v>319</v>
      </c>
      <c r="G263" s="11" t="s">
        <v>126</v>
      </c>
      <c r="H263" s="13" t="s">
        <v>640</v>
      </c>
    </row>
    <row r="264" spans="1:8" x14ac:dyDescent="0.2">
      <c r="A264" s="14">
        <v>234</v>
      </c>
      <c r="B264" s="15" t="s">
        <v>641</v>
      </c>
      <c r="C264" s="15" t="s">
        <v>131</v>
      </c>
      <c r="D264" s="15" t="s">
        <v>276</v>
      </c>
      <c r="E264" s="16">
        <v>64</v>
      </c>
      <c r="F264" s="15" t="s">
        <v>319</v>
      </c>
      <c r="G264" s="15" t="s">
        <v>126</v>
      </c>
      <c r="H264" s="17"/>
    </row>
    <row r="265" spans="1:8" x14ac:dyDescent="0.2">
      <c r="A265" s="10">
        <v>235</v>
      </c>
      <c r="B265" s="11" t="s">
        <v>642</v>
      </c>
      <c r="C265" s="11" t="s">
        <v>643</v>
      </c>
      <c r="D265" s="11" t="s">
        <v>276</v>
      </c>
      <c r="E265" s="12"/>
      <c r="F265" s="11" t="s">
        <v>449</v>
      </c>
      <c r="G265" s="11" t="s">
        <v>313</v>
      </c>
      <c r="H265" s="13"/>
    </row>
    <row r="266" spans="1:8" x14ac:dyDescent="0.2">
      <c r="A266" s="14">
        <v>236</v>
      </c>
      <c r="B266" s="15" t="s">
        <v>644</v>
      </c>
      <c r="C266" s="15" t="s">
        <v>143</v>
      </c>
      <c r="D266" s="15" t="s">
        <v>276</v>
      </c>
      <c r="E266" s="16"/>
      <c r="F266" s="15" t="s">
        <v>645</v>
      </c>
      <c r="G266" s="15" t="s">
        <v>126</v>
      </c>
      <c r="H266" s="17"/>
    </row>
    <row r="267" spans="1:8" x14ac:dyDescent="0.2">
      <c r="A267" s="10">
        <v>237</v>
      </c>
      <c r="B267" s="11" t="s">
        <v>646</v>
      </c>
      <c r="C267" s="11" t="s">
        <v>332</v>
      </c>
      <c r="D267" s="11" t="s">
        <v>276</v>
      </c>
      <c r="E267" s="12"/>
      <c r="F267" s="11" t="s">
        <v>645</v>
      </c>
      <c r="G267" s="11" t="s">
        <v>126</v>
      </c>
      <c r="H267" s="13"/>
    </row>
    <row r="268" spans="1:8" x14ac:dyDescent="0.2">
      <c r="A268" s="23" t="s">
        <v>647</v>
      </c>
      <c r="B268" s="24"/>
      <c r="C268" s="24"/>
      <c r="D268" s="24"/>
      <c r="E268" s="24"/>
      <c r="F268" s="24"/>
      <c r="G268" s="24"/>
      <c r="H268" s="24"/>
    </row>
    <row r="269" spans="1:8" x14ac:dyDescent="0.2">
      <c r="A269" s="10">
        <v>238</v>
      </c>
      <c r="B269" s="11" t="s">
        <v>648</v>
      </c>
      <c r="C269" s="11" t="s">
        <v>125</v>
      </c>
      <c r="D269" s="11" t="s">
        <v>278</v>
      </c>
      <c r="E269" s="12">
        <v>110</v>
      </c>
      <c r="F269" s="11" t="s">
        <v>304</v>
      </c>
      <c r="G269" s="11" t="s">
        <v>126</v>
      </c>
      <c r="H269" s="13"/>
    </row>
    <row r="270" spans="1:8" x14ac:dyDescent="0.2">
      <c r="A270" s="14">
        <v>239</v>
      </c>
      <c r="B270" s="15" t="s">
        <v>649</v>
      </c>
      <c r="C270" s="15" t="s">
        <v>95</v>
      </c>
      <c r="D270" s="15" t="s">
        <v>278</v>
      </c>
      <c r="E270" s="16">
        <v>105</v>
      </c>
      <c r="F270" s="15" t="s">
        <v>447</v>
      </c>
      <c r="G270" s="15" t="s">
        <v>97</v>
      </c>
      <c r="H270" s="17"/>
    </row>
    <row r="271" spans="1:8" x14ac:dyDescent="0.2">
      <c r="A271" s="23" t="s">
        <v>650</v>
      </c>
      <c r="B271" s="24"/>
      <c r="C271" s="24"/>
      <c r="D271" s="24"/>
      <c r="E271" s="24"/>
      <c r="F271" s="24"/>
      <c r="G271" s="24"/>
      <c r="H271" s="24"/>
    </row>
    <row r="272" spans="1:8" x14ac:dyDescent="0.2">
      <c r="A272" s="10">
        <v>240</v>
      </c>
      <c r="B272" s="11" t="s">
        <v>651</v>
      </c>
      <c r="C272" s="11" t="s">
        <v>95</v>
      </c>
      <c r="D272" s="11" t="s">
        <v>279</v>
      </c>
      <c r="E272" s="12">
        <v>207</v>
      </c>
      <c r="F272" s="11" t="s">
        <v>443</v>
      </c>
      <c r="G272" s="11" t="s">
        <v>97</v>
      </c>
      <c r="H272" s="13"/>
    </row>
    <row r="273" spans="1:8" x14ac:dyDescent="0.2">
      <c r="A273" s="23" t="s">
        <v>652</v>
      </c>
      <c r="B273" s="24"/>
      <c r="C273" s="24"/>
      <c r="D273" s="24"/>
      <c r="E273" s="24"/>
      <c r="F273" s="24"/>
      <c r="G273" s="24"/>
      <c r="H273" s="24"/>
    </row>
    <row r="274" spans="1:8" x14ac:dyDescent="0.2">
      <c r="A274" s="10">
        <v>241</v>
      </c>
      <c r="B274" s="11" t="s">
        <v>653</v>
      </c>
      <c r="C274" s="11" t="s">
        <v>149</v>
      </c>
      <c r="D274" s="11" t="s">
        <v>280</v>
      </c>
      <c r="E274" s="12">
        <v>103</v>
      </c>
      <c r="F274" s="11" t="s">
        <v>460</v>
      </c>
      <c r="G274" s="11" t="s">
        <v>97</v>
      </c>
      <c r="H274" s="13"/>
    </row>
    <row r="275" spans="1:8" x14ac:dyDescent="0.2">
      <c r="A275" s="14">
        <v>242</v>
      </c>
      <c r="B275" s="15" t="s">
        <v>654</v>
      </c>
      <c r="C275" s="15" t="s">
        <v>125</v>
      </c>
      <c r="D275" s="15" t="s">
        <v>280</v>
      </c>
      <c r="E275" s="16">
        <v>103</v>
      </c>
      <c r="F275" s="15" t="s">
        <v>460</v>
      </c>
      <c r="G275" s="15" t="s">
        <v>126</v>
      </c>
      <c r="H275" s="17"/>
    </row>
    <row r="276" spans="1:8" x14ac:dyDescent="0.2">
      <c r="A276" s="23" t="s">
        <v>655</v>
      </c>
      <c r="B276" s="24"/>
      <c r="C276" s="24"/>
      <c r="D276" s="24"/>
      <c r="E276" s="24"/>
      <c r="F276" s="24"/>
      <c r="G276" s="24"/>
      <c r="H276" s="24"/>
    </row>
    <row r="277" spans="1:8" x14ac:dyDescent="0.2">
      <c r="A277" s="10">
        <v>243</v>
      </c>
      <c r="B277" s="11" t="s">
        <v>656</v>
      </c>
      <c r="C277" s="11" t="s">
        <v>149</v>
      </c>
      <c r="D277" s="11" t="s">
        <v>281</v>
      </c>
      <c r="E277" s="12">
        <v>165</v>
      </c>
      <c r="F277" s="11" t="s">
        <v>443</v>
      </c>
      <c r="G277" s="11" t="s">
        <v>97</v>
      </c>
      <c r="H277" s="13" t="s">
        <v>657</v>
      </c>
    </row>
    <row r="278" spans="1:8" x14ac:dyDescent="0.2">
      <c r="A278" s="23" t="s">
        <v>658</v>
      </c>
      <c r="B278" s="24"/>
      <c r="C278" s="24"/>
      <c r="D278" s="24"/>
      <c r="E278" s="24"/>
      <c r="F278" s="24"/>
      <c r="G278" s="24"/>
      <c r="H278" s="24"/>
    </row>
    <row r="279" spans="1:8" x14ac:dyDescent="0.2">
      <c r="A279" s="10">
        <v>244</v>
      </c>
      <c r="B279" s="11" t="s">
        <v>659</v>
      </c>
      <c r="C279" s="11" t="s">
        <v>345</v>
      </c>
      <c r="D279" s="11" t="s">
        <v>282</v>
      </c>
      <c r="E279" s="12">
        <v>160</v>
      </c>
      <c r="F279" s="11" t="s">
        <v>460</v>
      </c>
      <c r="G279" s="11" t="s">
        <v>97</v>
      </c>
      <c r="H279" s="13"/>
    </row>
    <row r="280" spans="1:8" x14ac:dyDescent="0.2">
      <c r="A280" s="23" t="s">
        <v>660</v>
      </c>
      <c r="B280" s="24"/>
      <c r="C280" s="24"/>
      <c r="D280" s="24"/>
      <c r="E280" s="24"/>
      <c r="F280" s="24"/>
      <c r="G280" s="24"/>
      <c r="H280" s="24"/>
    </row>
    <row r="281" spans="1:8" x14ac:dyDescent="0.2">
      <c r="A281" s="10">
        <v>245</v>
      </c>
      <c r="B281" s="11" t="s">
        <v>661</v>
      </c>
      <c r="C281" s="11" t="s">
        <v>345</v>
      </c>
      <c r="D281" s="11" t="s">
        <v>283</v>
      </c>
      <c r="E281" s="12">
        <v>96</v>
      </c>
      <c r="F281" s="11" t="s">
        <v>472</v>
      </c>
      <c r="G281" s="11" t="s">
        <v>97</v>
      </c>
      <c r="H281" s="13"/>
    </row>
    <row r="282" spans="1:8" x14ac:dyDescent="0.2">
      <c r="A282" s="14">
        <v>246</v>
      </c>
      <c r="B282" s="15" t="s">
        <v>662</v>
      </c>
      <c r="C282" s="15" t="s">
        <v>106</v>
      </c>
      <c r="D282" s="15" t="s">
        <v>283</v>
      </c>
      <c r="E282" s="16">
        <v>64</v>
      </c>
      <c r="F282" s="15" t="s">
        <v>472</v>
      </c>
      <c r="G282" s="15" t="s">
        <v>97</v>
      </c>
      <c r="H282" s="17"/>
    </row>
    <row r="283" spans="1:8" x14ac:dyDescent="0.2">
      <c r="A283" s="10">
        <v>247</v>
      </c>
      <c r="B283" s="11" t="s">
        <v>663</v>
      </c>
      <c r="C283" s="11" t="s">
        <v>345</v>
      </c>
      <c r="D283" s="11" t="s">
        <v>283</v>
      </c>
      <c r="E283" s="12"/>
      <c r="F283" s="11" t="s">
        <v>472</v>
      </c>
      <c r="G283" s="11" t="s">
        <v>97</v>
      </c>
      <c r="H283" s="13"/>
    </row>
    <row r="284" spans="1:8" x14ac:dyDescent="0.2">
      <c r="A284" s="23" t="s">
        <v>664</v>
      </c>
      <c r="B284" s="24"/>
      <c r="C284" s="24"/>
      <c r="D284" s="24"/>
      <c r="E284" s="24"/>
      <c r="F284" s="24"/>
      <c r="G284" s="24"/>
      <c r="H284" s="24"/>
    </row>
    <row r="285" spans="1:8" x14ac:dyDescent="0.2">
      <c r="A285" s="10">
        <v>248</v>
      </c>
      <c r="B285" s="11" t="s">
        <v>665</v>
      </c>
      <c r="C285" s="11" t="s">
        <v>423</v>
      </c>
      <c r="D285" s="11" t="s">
        <v>284</v>
      </c>
      <c r="E285" s="12">
        <v>101</v>
      </c>
      <c r="F285" s="11" t="s">
        <v>304</v>
      </c>
      <c r="G285" s="11" t="s">
        <v>313</v>
      </c>
      <c r="H285" s="13"/>
    </row>
    <row r="286" spans="1:8" x14ac:dyDescent="0.2">
      <c r="A286" s="14">
        <v>249</v>
      </c>
      <c r="B286" s="15" t="s">
        <v>666</v>
      </c>
      <c r="C286" s="15" t="s">
        <v>667</v>
      </c>
      <c r="D286" s="15" t="s">
        <v>284</v>
      </c>
      <c r="E286" s="16">
        <v>45</v>
      </c>
      <c r="F286" s="15" t="s">
        <v>304</v>
      </c>
      <c r="G286" s="15" t="s">
        <v>313</v>
      </c>
      <c r="H286" s="17"/>
    </row>
    <row r="287" spans="1:8" x14ac:dyDescent="0.2">
      <c r="A287" s="10">
        <v>250</v>
      </c>
      <c r="B287" s="11" t="s">
        <v>668</v>
      </c>
      <c r="C287" s="11" t="s">
        <v>423</v>
      </c>
      <c r="D287" s="11" t="s">
        <v>284</v>
      </c>
      <c r="E287" s="12"/>
      <c r="F287" s="11" t="s">
        <v>447</v>
      </c>
      <c r="G287" s="11" t="s">
        <v>313</v>
      </c>
      <c r="H287" s="13" t="s">
        <v>669</v>
      </c>
    </row>
    <row r="288" spans="1:8" x14ac:dyDescent="0.2">
      <c r="A288" s="23" t="s">
        <v>670</v>
      </c>
      <c r="B288" s="24"/>
      <c r="C288" s="24"/>
      <c r="D288" s="24"/>
      <c r="E288" s="24"/>
      <c r="F288" s="24"/>
      <c r="G288" s="24"/>
      <c r="H288" s="24"/>
    </row>
    <row r="289" spans="1:8" x14ac:dyDescent="0.2">
      <c r="A289" s="10">
        <v>251</v>
      </c>
      <c r="B289" s="11" t="s">
        <v>671</v>
      </c>
      <c r="C289" s="11" t="s">
        <v>95</v>
      </c>
      <c r="D289" s="11" t="s">
        <v>286</v>
      </c>
      <c r="E289" s="12">
        <v>135</v>
      </c>
      <c r="F289" s="11" t="s">
        <v>304</v>
      </c>
      <c r="G289" s="11" t="s">
        <v>97</v>
      </c>
      <c r="H289" s="13"/>
    </row>
    <row r="290" spans="1:8" x14ac:dyDescent="0.2">
      <c r="A290" s="14">
        <v>252</v>
      </c>
      <c r="B290" s="15" t="s">
        <v>672</v>
      </c>
      <c r="C290" s="15" t="s">
        <v>106</v>
      </c>
      <c r="D290" s="15" t="s">
        <v>286</v>
      </c>
      <c r="E290" s="16"/>
      <c r="F290" s="15" t="s">
        <v>460</v>
      </c>
      <c r="G290" s="15" t="s">
        <v>97</v>
      </c>
      <c r="H290" s="17"/>
    </row>
    <row r="291" spans="1:8" x14ac:dyDescent="0.2">
      <c r="A291" s="10">
        <v>253</v>
      </c>
      <c r="B291" s="11" t="s">
        <v>673</v>
      </c>
      <c r="C291" s="11" t="s">
        <v>181</v>
      </c>
      <c r="D291" s="11" t="s">
        <v>286</v>
      </c>
      <c r="E291" s="12"/>
      <c r="F291" s="11" t="s">
        <v>674</v>
      </c>
      <c r="G291" s="11" t="s">
        <v>97</v>
      </c>
      <c r="H291" s="13"/>
    </row>
    <row r="292" spans="1:8" x14ac:dyDescent="0.2">
      <c r="A292" s="23" t="s">
        <v>675</v>
      </c>
      <c r="B292" s="24"/>
      <c r="C292" s="24"/>
      <c r="D292" s="24"/>
      <c r="E292" s="24"/>
      <c r="F292" s="24"/>
      <c r="G292" s="24"/>
      <c r="H292" s="24"/>
    </row>
    <row r="293" spans="1:8" x14ac:dyDescent="0.2">
      <c r="A293" s="10">
        <v>254</v>
      </c>
      <c r="B293" s="11" t="s">
        <v>676</v>
      </c>
      <c r="C293" s="11" t="s">
        <v>175</v>
      </c>
      <c r="D293" s="11" t="s">
        <v>287</v>
      </c>
      <c r="E293" s="12">
        <v>133</v>
      </c>
      <c r="F293" s="11" t="s">
        <v>304</v>
      </c>
      <c r="G293" s="11" t="s">
        <v>97</v>
      </c>
      <c r="H293" s="13"/>
    </row>
    <row r="294" spans="1:8" x14ac:dyDescent="0.2">
      <c r="A294" s="23" t="s">
        <v>677</v>
      </c>
      <c r="B294" s="24"/>
      <c r="C294" s="24"/>
      <c r="D294" s="24"/>
      <c r="E294" s="24"/>
      <c r="F294" s="24"/>
      <c r="G294" s="24"/>
      <c r="H294" s="24"/>
    </row>
    <row r="295" spans="1:8" x14ac:dyDescent="0.2">
      <c r="A295" s="10">
        <v>255</v>
      </c>
      <c r="B295" s="11" t="s">
        <v>678</v>
      </c>
      <c r="C295" s="11" t="s">
        <v>106</v>
      </c>
      <c r="D295" s="11" t="s">
        <v>288</v>
      </c>
      <c r="E295" s="12">
        <v>54</v>
      </c>
      <c r="F295" s="11" t="s">
        <v>679</v>
      </c>
      <c r="G295" s="11" t="s">
        <v>97</v>
      </c>
      <c r="H295" s="13"/>
    </row>
    <row r="296" spans="1:8" x14ac:dyDescent="0.2">
      <c r="A296" s="14">
        <v>256</v>
      </c>
      <c r="B296" s="15" t="s">
        <v>680</v>
      </c>
      <c r="C296" s="15" t="s">
        <v>158</v>
      </c>
      <c r="D296" s="15" t="s">
        <v>288</v>
      </c>
      <c r="E296" s="16">
        <v>36</v>
      </c>
      <c r="F296" s="15" t="s">
        <v>679</v>
      </c>
      <c r="G296" s="15" t="s">
        <v>97</v>
      </c>
      <c r="H296" s="17"/>
    </row>
    <row r="297" spans="1:8" x14ac:dyDescent="0.2">
      <c r="A297" s="10">
        <v>257</v>
      </c>
      <c r="B297" s="11" t="s">
        <v>681</v>
      </c>
      <c r="C297" s="11" t="s">
        <v>125</v>
      </c>
      <c r="D297" s="11" t="s">
        <v>288</v>
      </c>
      <c r="E297" s="12">
        <v>34</v>
      </c>
      <c r="F297" s="11" t="s">
        <v>679</v>
      </c>
      <c r="G297" s="11" t="s">
        <v>126</v>
      </c>
      <c r="H297" s="13"/>
    </row>
    <row r="298" spans="1:8" x14ac:dyDescent="0.2">
      <c r="A298" s="23" t="s">
        <v>682</v>
      </c>
      <c r="B298" s="24"/>
      <c r="C298" s="24"/>
      <c r="D298" s="24"/>
      <c r="E298" s="24"/>
      <c r="F298" s="24"/>
      <c r="G298" s="24"/>
      <c r="H298" s="24"/>
    </row>
    <row r="299" spans="1:8" x14ac:dyDescent="0.2">
      <c r="A299" s="10">
        <v>258</v>
      </c>
      <c r="B299" s="11" t="s">
        <v>683</v>
      </c>
      <c r="C299" s="11" t="s">
        <v>161</v>
      </c>
      <c r="D299" s="11" t="s">
        <v>289</v>
      </c>
      <c r="E299" s="12">
        <v>120</v>
      </c>
      <c r="F299" s="11" t="s">
        <v>477</v>
      </c>
      <c r="G299" s="11" t="s">
        <v>97</v>
      </c>
      <c r="H299" s="13" t="s">
        <v>684</v>
      </c>
    </row>
    <row r="300" spans="1:8" x14ac:dyDescent="0.2">
      <c r="A300" s="23" t="s">
        <v>685</v>
      </c>
      <c r="B300" s="24"/>
      <c r="C300" s="24"/>
      <c r="D300" s="24"/>
      <c r="E300" s="24"/>
      <c r="F300" s="24"/>
      <c r="G300" s="24"/>
      <c r="H300" s="24"/>
    </row>
    <row r="301" spans="1:8" x14ac:dyDescent="0.2">
      <c r="A301" s="10">
        <v>259</v>
      </c>
      <c r="B301" s="11" t="s">
        <v>686</v>
      </c>
      <c r="C301" s="11" t="s">
        <v>95</v>
      </c>
      <c r="D301" s="11" t="s">
        <v>290</v>
      </c>
      <c r="E301" s="12">
        <v>105</v>
      </c>
      <c r="F301" s="11" t="s">
        <v>447</v>
      </c>
      <c r="G301" s="11" t="s">
        <v>97</v>
      </c>
      <c r="H301" s="13" t="s">
        <v>687</v>
      </c>
    </row>
    <row r="302" spans="1:8" x14ac:dyDescent="0.2">
      <c r="A302" s="23" t="s">
        <v>688</v>
      </c>
      <c r="B302" s="24"/>
      <c r="C302" s="24"/>
      <c r="D302" s="24"/>
      <c r="E302" s="24"/>
      <c r="F302" s="24"/>
      <c r="G302" s="24"/>
      <c r="H302" s="24"/>
    </row>
    <row r="303" spans="1:8" x14ac:dyDescent="0.2">
      <c r="A303" s="10">
        <v>260</v>
      </c>
      <c r="B303" s="11" t="s">
        <v>689</v>
      </c>
      <c r="C303" s="11" t="s">
        <v>140</v>
      </c>
      <c r="D303" s="11" t="s">
        <v>291</v>
      </c>
      <c r="E303" s="12">
        <v>100</v>
      </c>
      <c r="F303" s="11" t="s">
        <v>443</v>
      </c>
      <c r="G303" s="11" t="s">
        <v>97</v>
      </c>
      <c r="H303" s="13" t="s">
        <v>690</v>
      </c>
    </row>
    <row r="304" spans="1:8" x14ac:dyDescent="0.2">
      <c r="A304" s="23" t="s">
        <v>691</v>
      </c>
      <c r="B304" s="24"/>
      <c r="C304" s="24"/>
      <c r="D304" s="24"/>
      <c r="E304" s="24"/>
      <c r="F304" s="24"/>
      <c r="G304" s="24"/>
      <c r="H304" s="24"/>
    </row>
    <row r="305" spans="1:8" x14ac:dyDescent="0.2">
      <c r="A305" s="10">
        <v>261</v>
      </c>
      <c r="B305" s="11" t="s">
        <v>692</v>
      </c>
      <c r="C305" s="11" t="s">
        <v>693</v>
      </c>
      <c r="D305" s="11" t="s">
        <v>292</v>
      </c>
      <c r="E305" s="12">
        <v>44</v>
      </c>
      <c r="F305" s="11" t="s">
        <v>304</v>
      </c>
      <c r="G305" s="11" t="s">
        <v>313</v>
      </c>
      <c r="H305" s="13"/>
    </row>
    <row r="306" spans="1:8" x14ac:dyDescent="0.2">
      <c r="A306" s="23" t="s">
        <v>694</v>
      </c>
      <c r="B306" s="24"/>
      <c r="C306" s="24"/>
      <c r="D306" s="24"/>
      <c r="E306" s="24"/>
      <c r="F306" s="24"/>
      <c r="G306" s="24"/>
      <c r="H306" s="24"/>
    </row>
    <row r="307" spans="1:8" x14ac:dyDescent="0.2">
      <c r="A307" s="10">
        <v>262</v>
      </c>
      <c r="B307" s="11" t="s">
        <v>695</v>
      </c>
      <c r="C307" s="11" t="s">
        <v>125</v>
      </c>
      <c r="D307" s="11" t="s">
        <v>293</v>
      </c>
      <c r="E307" s="12">
        <v>42</v>
      </c>
      <c r="F307" s="11" t="s">
        <v>447</v>
      </c>
      <c r="G307" s="11" t="s">
        <v>126</v>
      </c>
      <c r="H307" s="13"/>
    </row>
    <row r="308" spans="1:8" x14ac:dyDescent="0.2">
      <c r="A308" s="23" t="s">
        <v>696</v>
      </c>
      <c r="B308" s="24"/>
      <c r="C308" s="24"/>
      <c r="D308" s="24"/>
      <c r="E308" s="24"/>
      <c r="F308" s="24"/>
      <c r="G308" s="24"/>
      <c r="H308" s="24"/>
    </row>
    <row r="309" spans="1:8" x14ac:dyDescent="0.2">
      <c r="A309" s="10">
        <v>263</v>
      </c>
      <c r="B309" s="11" t="s">
        <v>697</v>
      </c>
      <c r="C309" s="11" t="s">
        <v>137</v>
      </c>
      <c r="D309" s="11" t="s">
        <v>294</v>
      </c>
      <c r="E309" s="12">
        <v>24</v>
      </c>
      <c r="F309" s="11" t="s">
        <v>477</v>
      </c>
      <c r="G309" s="11" t="s">
        <v>97</v>
      </c>
      <c r="H309" s="13" t="s">
        <v>698</v>
      </c>
    </row>
    <row r="310" spans="1:8" x14ac:dyDescent="0.2">
      <c r="A310" s="23" t="s">
        <v>699</v>
      </c>
      <c r="B310" s="24"/>
      <c r="C310" s="24"/>
      <c r="D310" s="24"/>
      <c r="E310" s="24"/>
      <c r="F310" s="24"/>
      <c r="G310" s="24"/>
      <c r="H310" s="24"/>
    </row>
    <row r="311" spans="1:8" x14ac:dyDescent="0.2">
      <c r="A311" s="10">
        <v>264</v>
      </c>
      <c r="B311" s="11" t="s">
        <v>700</v>
      </c>
      <c r="C311" s="11" t="s">
        <v>345</v>
      </c>
      <c r="D311" s="11" t="s">
        <v>295</v>
      </c>
      <c r="E311" s="12"/>
      <c r="F311" s="11" t="s">
        <v>484</v>
      </c>
      <c r="G311" s="11" t="s">
        <v>97</v>
      </c>
      <c r="H311" s="13" t="s">
        <v>701</v>
      </c>
    </row>
    <row r="312" spans="1:8" x14ac:dyDescent="0.2">
      <c r="A312" s="14">
        <v>265</v>
      </c>
      <c r="B312" s="15" t="s">
        <v>702</v>
      </c>
      <c r="C312" s="15" t="s">
        <v>374</v>
      </c>
      <c r="D312" s="15" t="s">
        <v>295</v>
      </c>
      <c r="E312" s="16"/>
      <c r="F312" s="15" t="s">
        <v>460</v>
      </c>
      <c r="G312" s="15" t="s">
        <v>313</v>
      </c>
      <c r="H312" s="17"/>
    </row>
    <row r="313" spans="1:8" x14ac:dyDescent="0.2">
      <c r="A313" s="10">
        <v>266</v>
      </c>
      <c r="B313" s="11" t="s">
        <v>703</v>
      </c>
      <c r="C313" s="11" t="s">
        <v>415</v>
      </c>
      <c r="D313" s="11" t="s">
        <v>295</v>
      </c>
      <c r="E313" s="12"/>
      <c r="F313" s="11" t="s">
        <v>484</v>
      </c>
      <c r="G313" s="11" t="s">
        <v>313</v>
      </c>
      <c r="H313" s="13"/>
    </row>
    <row r="314" spans="1:8" x14ac:dyDescent="0.2">
      <c r="A314" s="14">
        <v>267</v>
      </c>
      <c r="B314" s="15" t="s">
        <v>704</v>
      </c>
      <c r="C314" s="15" t="s">
        <v>431</v>
      </c>
      <c r="D314" s="15" t="s">
        <v>295</v>
      </c>
      <c r="E314" s="16"/>
      <c r="F314" s="15" t="s">
        <v>484</v>
      </c>
      <c r="G314" s="15" t="s">
        <v>313</v>
      </c>
      <c r="H314" s="17"/>
    </row>
    <row r="315" spans="1:8" x14ac:dyDescent="0.2">
      <c r="A315" s="23" t="s">
        <v>705</v>
      </c>
      <c r="B315" s="24"/>
      <c r="C315" s="24"/>
      <c r="D315" s="24"/>
      <c r="E315" s="24"/>
      <c r="F315" s="24"/>
      <c r="G315" s="24"/>
      <c r="H315" s="24"/>
    </row>
    <row r="316" spans="1:8" x14ac:dyDescent="0.2">
      <c r="A316" s="10">
        <v>268</v>
      </c>
      <c r="B316" s="11" t="s">
        <v>706</v>
      </c>
      <c r="C316" s="11" t="s">
        <v>217</v>
      </c>
      <c r="D316" s="11" t="s">
        <v>71</v>
      </c>
      <c r="E316" s="12"/>
      <c r="F316" s="11" t="s">
        <v>477</v>
      </c>
      <c r="G316" s="11" t="s">
        <v>97</v>
      </c>
      <c r="H316" s="13" t="s">
        <v>707</v>
      </c>
    </row>
    <row r="317" spans="1:8" x14ac:dyDescent="0.2">
      <c r="A317" s="18"/>
      <c r="B317" s="19" t="s">
        <v>708</v>
      </c>
      <c r="C317" s="18"/>
      <c r="D317" s="18"/>
      <c r="E317" s="20">
        <f>SUM(E5:E316)</f>
        <v>27035</v>
      </c>
      <c r="F317" s="18"/>
      <c r="G317" s="18"/>
      <c r="H317" s="18"/>
    </row>
    <row r="319" spans="1:8" x14ac:dyDescent="0.2">
      <c r="B319" s="2" t="s">
        <v>709</v>
      </c>
    </row>
    <row r="320" spans="1:8" x14ac:dyDescent="0.2">
      <c r="B320" s="2" t="s">
        <v>710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8"/>
  <sheetViews>
    <sheetView showGridLines="0" tabSelected="1" zoomScaleNormal="100" workbookViewId="0">
      <pane ySplit="4" topLeftCell="A5" activePane="bottomLeft" state="frozen"/>
      <selection pane="bottomLeft"/>
    </sheetView>
  </sheetViews>
  <sheetFormatPr baseColWidth="10" defaultColWidth="8.6640625" defaultRowHeight="15" x14ac:dyDescent="0.2"/>
  <cols>
    <col min="1" max="1" width="5" customWidth="1"/>
    <col min="2" max="2" width="46" customWidth="1"/>
    <col min="3" max="3" width="18" customWidth="1"/>
    <col min="4" max="4" width="40" customWidth="1"/>
    <col min="5" max="5" width="10" customWidth="1"/>
    <col min="6" max="6" width="20" customWidth="1"/>
    <col min="7" max="7" width="34" customWidth="1"/>
    <col min="8" max="8" width="66" customWidth="1"/>
  </cols>
  <sheetData>
    <row r="1" spans="1:8" ht="19.5" customHeight="1" x14ac:dyDescent="0.2">
      <c r="A1" s="6" t="s">
        <v>711</v>
      </c>
    </row>
    <row r="2" spans="1:8" x14ac:dyDescent="0.2">
      <c r="A2" s="7" t="s">
        <v>712</v>
      </c>
      <c r="B2" s="8"/>
      <c r="C2" s="8"/>
      <c r="D2" s="8"/>
      <c r="E2" s="8"/>
      <c r="F2" s="8"/>
      <c r="G2" s="8"/>
      <c r="H2" s="8"/>
    </row>
    <row r="4" spans="1:8" ht="30" customHeight="1" x14ac:dyDescent="0.2">
      <c r="A4" s="9" t="s">
        <v>51</v>
      </c>
      <c r="B4" s="9" t="s">
        <v>713</v>
      </c>
      <c r="C4" s="9" t="s">
        <v>91</v>
      </c>
      <c r="D4" s="9" t="s">
        <v>25</v>
      </c>
      <c r="E4" s="9" t="s">
        <v>714</v>
      </c>
      <c r="F4" s="9" t="s">
        <v>715</v>
      </c>
      <c r="G4" s="9" t="s">
        <v>716</v>
      </c>
      <c r="H4" s="9" t="s">
        <v>27</v>
      </c>
    </row>
    <row r="5" spans="1:8" x14ac:dyDescent="0.2">
      <c r="A5" s="23" t="s">
        <v>717</v>
      </c>
      <c r="B5" s="24"/>
      <c r="C5" s="24"/>
      <c r="D5" s="24"/>
      <c r="E5" s="24"/>
      <c r="F5" s="24"/>
      <c r="G5" s="24"/>
      <c r="H5" s="24"/>
    </row>
    <row r="6" spans="1:8" x14ac:dyDescent="0.2">
      <c r="A6" s="10">
        <v>1</v>
      </c>
      <c r="B6" s="11" t="s">
        <v>718</v>
      </c>
      <c r="C6" s="11" t="s">
        <v>95</v>
      </c>
      <c r="D6" s="11" t="s">
        <v>719</v>
      </c>
      <c r="E6" s="12">
        <v>154</v>
      </c>
      <c r="F6" s="11" t="s">
        <v>720</v>
      </c>
      <c r="G6" s="11" t="s">
        <v>721</v>
      </c>
      <c r="H6" s="13" t="s">
        <v>722</v>
      </c>
    </row>
    <row r="7" spans="1:8" x14ac:dyDescent="0.2">
      <c r="A7" s="14">
        <v>2</v>
      </c>
      <c r="B7" s="15" t="s">
        <v>723</v>
      </c>
      <c r="C7" s="15" t="s">
        <v>161</v>
      </c>
      <c r="D7" s="15" t="s">
        <v>724</v>
      </c>
      <c r="E7" s="16">
        <v>144</v>
      </c>
      <c r="F7" s="15" t="s">
        <v>720</v>
      </c>
      <c r="G7" s="15" t="s">
        <v>721</v>
      </c>
      <c r="H7" s="17" t="s">
        <v>725</v>
      </c>
    </row>
    <row r="8" spans="1:8" x14ac:dyDescent="0.2">
      <c r="A8" s="10">
        <v>3</v>
      </c>
      <c r="B8" s="11" t="s">
        <v>726</v>
      </c>
      <c r="C8" s="11" t="s">
        <v>106</v>
      </c>
      <c r="D8" s="11" t="s">
        <v>727</v>
      </c>
      <c r="E8" s="12">
        <v>120</v>
      </c>
      <c r="F8" s="11" t="s">
        <v>720</v>
      </c>
      <c r="G8" s="11" t="s">
        <v>721</v>
      </c>
      <c r="H8" s="13" t="s">
        <v>728</v>
      </c>
    </row>
    <row r="9" spans="1:8" x14ac:dyDescent="0.2">
      <c r="A9" s="14">
        <v>4</v>
      </c>
      <c r="B9" s="15" t="s">
        <v>729</v>
      </c>
      <c r="C9" s="15" t="s">
        <v>181</v>
      </c>
      <c r="D9" s="15" t="s">
        <v>730</v>
      </c>
      <c r="E9" s="16">
        <v>104</v>
      </c>
      <c r="F9" s="15" t="s">
        <v>720</v>
      </c>
      <c r="G9" s="15" t="s">
        <v>721</v>
      </c>
      <c r="H9" s="17"/>
    </row>
    <row r="10" spans="1:8" x14ac:dyDescent="0.2">
      <c r="A10" s="10">
        <v>5</v>
      </c>
      <c r="B10" s="11" t="s">
        <v>731</v>
      </c>
      <c r="C10" s="11" t="s">
        <v>100</v>
      </c>
      <c r="D10" s="11" t="s">
        <v>732</v>
      </c>
      <c r="E10" s="12">
        <v>96</v>
      </c>
      <c r="F10" s="11" t="s">
        <v>720</v>
      </c>
      <c r="G10" s="11" t="s">
        <v>721</v>
      </c>
      <c r="H10" s="13" t="s">
        <v>733</v>
      </c>
    </row>
    <row r="11" spans="1:8" x14ac:dyDescent="0.2">
      <c r="A11" s="14">
        <v>6</v>
      </c>
      <c r="B11" s="15" t="s">
        <v>734</v>
      </c>
      <c r="C11" s="15" t="s">
        <v>137</v>
      </c>
      <c r="D11" s="15" t="s">
        <v>730</v>
      </c>
      <c r="E11" s="16">
        <v>86</v>
      </c>
      <c r="F11" s="15" t="s">
        <v>720</v>
      </c>
      <c r="G11" s="15" t="s">
        <v>721</v>
      </c>
      <c r="H11" s="17"/>
    </row>
    <row r="12" spans="1:8" x14ac:dyDescent="0.2">
      <c r="A12" s="10">
        <v>7</v>
      </c>
      <c r="B12" s="11" t="s">
        <v>735</v>
      </c>
      <c r="C12" s="11" t="s">
        <v>95</v>
      </c>
      <c r="D12" s="11" t="s">
        <v>736</v>
      </c>
      <c r="E12" s="12">
        <v>72</v>
      </c>
      <c r="F12" s="11" t="s">
        <v>720</v>
      </c>
      <c r="G12" s="11" t="s">
        <v>721</v>
      </c>
      <c r="H12" s="13"/>
    </row>
    <row r="13" spans="1:8" x14ac:dyDescent="0.2">
      <c r="A13" s="14">
        <v>8</v>
      </c>
      <c r="B13" s="15" t="s">
        <v>737</v>
      </c>
      <c r="C13" s="15" t="s">
        <v>95</v>
      </c>
      <c r="D13" s="15" t="s">
        <v>736</v>
      </c>
      <c r="E13" s="16">
        <v>36</v>
      </c>
      <c r="F13" s="15" t="s">
        <v>720</v>
      </c>
      <c r="G13" s="15" t="s">
        <v>721</v>
      </c>
      <c r="H13" s="17"/>
    </row>
    <row r="14" spans="1:8" x14ac:dyDescent="0.2">
      <c r="A14" s="23" t="s">
        <v>738</v>
      </c>
      <c r="B14" s="24"/>
      <c r="C14" s="24"/>
      <c r="D14" s="24"/>
      <c r="E14" s="24"/>
      <c r="F14" s="24"/>
      <c r="G14" s="24"/>
      <c r="H14" s="24"/>
    </row>
    <row r="15" spans="1:8" x14ac:dyDescent="0.2">
      <c r="A15" s="10">
        <v>9</v>
      </c>
      <c r="B15" s="11" t="s">
        <v>220</v>
      </c>
      <c r="C15" s="11" t="s">
        <v>100</v>
      </c>
      <c r="D15" s="11" t="s">
        <v>71</v>
      </c>
      <c r="E15" s="12">
        <v>93</v>
      </c>
      <c r="F15" s="11" t="s">
        <v>720</v>
      </c>
      <c r="G15" s="11" t="s">
        <v>739</v>
      </c>
      <c r="H15" s="13" t="s">
        <v>740</v>
      </c>
    </row>
    <row r="16" spans="1:8" x14ac:dyDescent="0.2">
      <c r="A16" s="14">
        <v>10</v>
      </c>
      <c r="B16" s="15" t="s">
        <v>114</v>
      </c>
      <c r="C16" s="15" t="s">
        <v>106</v>
      </c>
      <c r="D16" s="15" t="s">
        <v>727</v>
      </c>
      <c r="E16" s="16">
        <v>78</v>
      </c>
      <c r="F16" s="15" t="s">
        <v>720</v>
      </c>
      <c r="G16" s="15" t="s">
        <v>739</v>
      </c>
      <c r="H16" s="17" t="s">
        <v>741</v>
      </c>
    </row>
    <row r="17" spans="1:8" x14ac:dyDescent="0.2">
      <c r="A17" s="10">
        <v>11</v>
      </c>
      <c r="B17" s="11" t="s">
        <v>742</v>
      </c>
      <c r="C17" s="11" t="s">
        <v>175</v>
      </c>
      <c r="D17" s="11" t="s">
        <v>743</v>
      </c>
      <c r="E17" s="12">
        <v>60</v>
      </c>
      <c r="F17" s="11" t="s">
        <v>720</v>
      </c>
      <c r="G17" s="11" t="s">
        <v>739</v>
      </c>
      <c r="H17" s="13" t="s">
        <v>744</v>
      </c>
    </row>
    <row r="18" spans="1:8" x14ac:dyDescent="0.2">
      <c r="A18" s="14">
        <v>12</v>
      </c>
      <c r="B18" s="15" t="s">
        <v>745</v>
      </c>
      <c r="C18" s="15" t="s">
        <v>746</v>
      </c>
      <c r="D18" s="15" t="s">
        <v>747</v>
      </c>
      <c r="E18" s="16">
        <v>50</v>
      </c>
      <c r="F18" s="15" t="s">
        <v>720</v>
      </c>
      <c r="G18" s="15" t="s">
        <v>739</v>
      </c>
      <c r="H18" s="17"/>
    </row>
    <row r="19" spans="1:8" x14ac:dyDescent="0.2">
      <c r="A19" s="10">
        <v>13</v>
      </c>
      <c r="B19" s="11" t="s">
        <v>748</v>
      </c>
      <c r="C19" s="11" t="s">
        <v>95</v>
      </c>
      <c r="D19" s="11" t="s">
        <v>749</v>
      </c>
      <c r="E19" s="12">
        <v>40</v>
      </c>
      <c r="F19" s="11" t="s">
        <v>720</v>
      </c>
      <c r="G19" s="11" t="s">
        <v>739</v>
      </c>
      <c r="H19" s="13" t="s">
        <v>750</v>
      </c>
    </row>
    <row r="20" spans="1:8" x14ac:dyDescent="0.2">
      <c r="A20" s="14">
        <v>14</v>
      </c>
      <c r="B20" s="15" t="s">
        <v>751</v>
      </c>
      <c r="C20" s="15" t="s">
        <v>100</v>
      </c>
      <c r="D20" s="15" t="s">
        <v>749</v>
      </c>
      <c r="E20" s="16">
        <v>40</v>
      </c>
      <c r="F20" s="15" t="s">
        <v>720</v>
      </c>
      <c r="G20" s="15" t="s">
        <v>739</v>
      </c>
      <c r="H20" s="17" t="s">
        <v>752</v>
      </c>
    </row>
    <row r="21" spans="1:8" x14ac:dyDescent="0.2">
      <c r="A21" s="10">
        <v>15</v>
      </c>
      <c r="B21" s="11" t="s">
        <v>753</v>
      </c>
      <c r="C21" s="11" t="s">
        <v>161</v>
      </c>
      <c r="D21" s="11" t="s">
        <v>747</v>
      </c>
      <c r="E21" s="12">
        <v>36</v>
      </c>
      <c r="F21" s="11" t="s">
        <v>720</v>
      </c>
      <c r="G21" s="11" t="s">
        <v>739</v>
      </c>
      <c r="H21" s="13"/>
    </row>
    <row r="22" spans="1:8" x14ac:dyDescent="0.2">
      <c r="A22" s="14">
        <v>16</v>
      </c>
      <c r="B22" s="15" t="s">
        <v>754</v>
      </c>
      <c r="C22" s="15" t="s">
        <v>112</v>
      </c>
      <c r="D22" s="15" t="s">
        <v>755</v>
      </c>
      <c r="E22" s="16">
        <v>31</v>
      </c>
      <c r="F22" s="15" t="s">
        <v>720</v>
      </c>
      <c r="G22" s="15" t="s">
        <v>739</v>
      </c>
      <c r="H22" s="17" t="s">
        <v>756</v>
      </c>
    </row>
    <row r="23" spans="1:8" x14ac:dyDescent="0.2">
      <c r="A23" s="23" t="s">
        <v>757</v>
      </c>
      <c r="B23" s="24"/>
      <c r="C23" s="24"/>
      <c r="D23" s="24"/>
      <c r="E23" s="24"/>
      <c r="F23" s="24"/>
      <c r="G23" s="24"/>
      <c r="H23" s="24"/>
    </row>
    <row r="24" spans="1:8" x14ac:dyDescent="0.2">
      <c r="A24" s="10">
        <v>17</v>
      </c>
      <c r="B24" s="11" t="s">
        <v>758</v>
      </c>
      <c r="C24" s="11" t="s">
        <v>95</v>
      </c>
      <c r="D24" s="11" t="s">
        <v>759</v>
      </c>
      <c r="E24" s="12">
        <v>81</v>
      </c>
      <c r="F24" s="11" t="s">
        <v>720</v>
      </c>
      <c r="G24" s="11" t="s">
        <v>760</v>
      </c>
      <c r="H24" s="13" t="s">
        <v>761</v>
      </c>
    </row>
    <row r="25" spans="1:8" x14ac:dyDescent="0.2">
      <c r="A25" s="14">
        <v>18</v>
      </c>
      <c r="B25" s="15" t="s">
        <v>762</v>
      </c>
      <c r="C25" s="15" t="s">
        <v>95</v>
      </c>
      <c r="D25" s="15" t="s">
        <v>747</v>
      </c>
      <c r="E25" s="16">
        <v>63</v>
      </c>
      <c r="F25" s="15" t="s">
        <v>720</v>
      </c>
      <c r="G25" s="15" t="s">
        <v>760</v>
      </c>
      <c r="H25" s="17"/>
    </row>
    <row r="26" spans="1:8" x14ac:dyDescent="0.2">
      <c r="A26" s="10">
        <v>19</v>
      </c>
      <c r="B26" s="11" t="s">
        <v>763</v>
      </c>
      <c r="C26" s="11" t="s">
        <v>112</v>
      </c>
      <c r="D26" s="11" t="s">
        <v>755</v>
      </c>
      <c r="E26" s="12">
        <v>54</v>
      </c>
      <c r="F26" s="11" t="s">
        <v>720</v>
      </c>
      <c r="G26" s="11" t="s">
        <v>760</v>
      </c>
      <c r="H26" s="13"/>
    </row>
    <row r="27" spans="1:8" x14ac:dyDescent="0.2">
      <c r="A27" s="14">
        <v>20</v>
      </c>
      <c r="B27" s="15" t="s">
        <v>764</v>
      </c>
      <c r="C27" s="15" t="s">
        <v>106</v>
      </c>
      <c r="D27" s="15" t="s">
        <v>759</v>
      </c>
      <c r="E27" s="16">
        <v>37</v>
      </c>
      <c r="F27" s="15" t="s">
        <v>720</v>
      </c>
      <c r="G27" s="15" t="s">
        <v>760</v>
      </c>
      <c r="H27" s="17"/>
    </row>
    <row r="28" spans="1:8" x14ac:dyDescent="0.2">
      <c r="A28" s="10">
        <v>21</v>
      </c>
      <c r="B28" s="11" t="s">
        <v>765</v>
      </c>
      <c r="C28" s="11" t="s">
        <v>95</v>
      </c>
      <c r="D28" s="11" t="s">
        <v>759</v>
      </c>
      <c r="E28" s="12">
        <v>28</v>
      </c>
      <c r="F28" s="11" t="s">
        <v>720</v>
      </c>
      <c r="G28" s="11" t="s">
        <v>760</v>
      </c>
      <c r="H28" s="13"/>
    </row>
    <row r="29" spans="1:8" x14ac:dyDescent="0.2">
      <c r="A29" s="23" t="s">
        <v>766</v>
      </c>
      <c r="B29" s="24"/>
      <c r="C29" s="24"/>
      <c r="D29" s="24"/>
      <c r="E29" s="24"/>
      <c r="F29" s="24"/>
      <c r="G29" s="24"/>
      <c r="H29" s="24"/>
    </row>
    <row r="30" spans="1:8" x14ac:dyDescent="0.2">
      <c r="A30" s="10">
        <v>22</v>
      </c>
      <c r="B30" s="11" t="s">
        <v>767</v>
      </c>
      <c r="C30" s="11" t="s">
        <v>768</v>
      </c>
      <c r="D30" s="11" t="s">
        <v>769</v>
      </c>
      <c r="E30" s="12">
        <v>90</v>
      </c>
      <c r="F30" s="11" t="s">
        <v>770</v>
      </c>
      <c r="G30" s="11" t="s">
        <v>771</v>
      </c>
      <c r="H30" s="13" t="s">
        <v>772</v>
      </c>
    </row>
    <row r="31" spans="1:8" x14ac:dyDescent="0.2">
      <c r="A31" s="14">
        <v>23</v>
      </c>
      <c r="B31" s="15" t="s">
        <v>773</v>
      </c>
      <c r="C31" s="15" t="s">
        <v>95</v>
      </c>
      <c r="D31" s="15" t="s">
        <v>727</v>
      </c>
      <c r="E31" s="16">
        <v>13</v>
      </c>
      <c r="F31" s="15" t="s">
        <v>770</v>
      </c>
      <c r="G31" s="15" t="s">
        <v>771</v>
      </c>
      <c r="H31" s="17" t="s">
        <v>774</v>
      </c>
    </row>
    <row r="32" spans="1:8" x14ac:dyDescent="0.2">
      <c r="A32" s="10">
        <v>24</v>
      </c>
      <c r="B32" s="11" t="s">
        <v>775</v>
      </c>
      <c r="C32" s="11" t="s">
        <v>768</v>
      </c>
      <c r="D32" s="11" t="s">
        <v>58</v>
      </c>
      <c r="E32" s="12">
        <v>3</v>
      </c>
      <c r="F32" s="11" t="s">
        <v>776</v>
      </c>
      <c r="G32" s="11" t="s">
        <v>771</v>
      </c>
      <c r="H32" s="13" t="s">
        <v>777</v>
      </c>
    </row>
    <row r="33" spans="1:8" x14ac:dyDescent="0.2">
      <c r="A33" s="14">
        <v>25</v>
      </c>
      <c r="B33" s="15" t="s">
        <v>778</v>
      </c>
      <c r="C33" s="15" t="s">
        <v>779</v>
      </c>
      <c r="D33" s="15" t="s">
        <v>780</v>
      </c>
      <c r="E33" s="16">
        <v>3</v>
      </c>
      <c r="F33" s="15" t="s">
        <v>776</v>
      </c>
      <c r="G33" s="15" t="s">
        <v>771</v>
      </c>
      <c r="H33" s="17" t="s">
        <v>781</v>
      </c>
    </row>
    <row r="34" spans="1:8" x14ac:dyDescent="0.2">
      <c r="A34" s="10">
        <v>26</v>
      </c>
      <c r="B34" s="11" t="s">
        <v>782</v>
      </c>
      <c r="C34" s="11" t="s">
        <v>783</v>
      </c>
      <c r="D34" s="11" t="s">
        <v>784</v>
      </c>
      <c r="E34" s="12">
        <v>2</v>
      </c>
      <c r="F34" s="11" t="s">
        <v>776</v>
      </c>
      <c r="G34" s="11" t="s">
        <v>771</v>
      </c>
      <c r="H34" s="13" t="s">
        <v>785</v>
      </c>
    </row>
    <row r="35" spans="1:8" x14ac:dyDescent="0.2">
      <c r="A35" s="14">
        <v>27</v>
      </c>
      <c r="B35" s="15" t="s">
        <v>786</v>
      </c>
      <c r="C35" s="15" t="s">
        <v>768</v>
      </c>
      <c r="D35" s="15" t="s">
        <v>787</v>
      </c>
      <c r="E35" s="16"/>
      <c r="F35" s="15" t="s">
        <v>788</v>
      </c>
      <c r="G35" s="15" t="s">
        <v>771</v>
      </c>
      <c r="H35" s="17" t="s">
        <v>789</v>
      </c>
    </row>
    <row r="36" spans="1:8" x14ac:dyDescent="0.2">
      <c r="A36" s="23" t="s">
        <v>790</v>
      </c>
      <c r="B36" s="24"/>
      <c r="C36" s="24"/>
      <c r="D36" s="24"/>
      <c r="E36" s="24"/>
      <c r="F36" s="24"/>
      <c r="G36" s="24"/>
      <c r="H36" s="24"/>
    </row>
    <row r="37" spans="1:8" x14ac:dyDescent="0.2">
      <c r="A37" s="10">
        <v>28</v>
      </c>
      <c r="B37" s="11" t="s">
        <v>791</v>
      </c>
      <c r="C37" s="11" t="s">
        <v>792</v>
      </c>
      <c r="D37" s="11" t="s">
        <v>793</v>
      </c>
      <c r="E37" s="12">
        <v>30</v>
      </c>
      <c r="F37" s="11" t="s">
        <v>794</v>
      </c>
      <c r="G37" s="11" t="s">
        <v>795</v>
      </c>
      <c r="H37" s="13" t="s">
        <v>796</v>
      </c>
    </row>
    <row r="38" spans="1:8" x14ac:dyDescent="0.2">
      <c r="A38" s="14">
        <v>29</v>
      </c>
      <c r="B38" s="15" t="s">
        <v>797</v>
      </c>
      <c r="C38" s="15" t="s">
        <v>768</v>
      </c>
      <c r="D38" s="15" t="s">
        <v>798</v>
      </c>
      <c r="E38" s="16">
        <v>12</v>
      </c>
      <c r="F38" s="15" t="s">
        <v>794</v>
      </c>
      <c r="G38" s="15" t="s">
        <v>795</v>
      </c>
      <c r="H38" s="17" t="s">
        <v>799</v>
      </c>
    </row>
    <row r="39" spans="1:8" x14ac:dyDescent="0.2">
      <c r="A39" s="10">
        <v>30</v>
      </c>
      <c r="B39" s="11" t="s">
        <v>800</v>
      </c>
      <c r="C39" s="11" t="s">
        <v>768</v>
      </c>
      <c r="D39" s="11" t="s">
        <v>801</v>
      </c>
      <c r="E39" s="12">
        <v>5</v>
      </c>
      <c r="F39" s="11" t="s">
        <v>794</v>
      </c>
      <c r="G39" s="11" t="s">
        <v>795</v>
      </c>
      <c r="H39" s="13" t="s">
        <v>802</v>
      </c>
    </row>
    <row r="40" spans="1:8" x14ac:dyDescent="0.2">
      <c r="A40" s="14">
        <v>31</v>
      </c>
      <c r="B40" s="15" t="s">
        <v>803</v>
      </c>
      <c r="C40" s="15" t="s">
        <v>106</v>
      </c>
      <c r="D40" s="15" t="s">
        <v>804</v>
      </c>
      <c r="E40" s="16">
        <v>3</v>
      </c>
      <c r="F40" s="15" t="s">
        <v>805</v>
      </c>
      <c r="G40" s="15" t="s">
        <v>795</v>
      </c>
      <c r="H40" s="17" t="s">
        <v>806</v>
      </c>
    </row>
    <row r="41" spans="1:8" x14ac:dyDescent="0.2">
      <c r="A41" s="10">
        <v>32</v>
      </c>
      <c r="B41" s="11" t="s">
        <v>807</v>
      </c>
      <c r="C41" s="11" t="s">
        <v>808</v>
      </c>
      <c r="D41" s="11" t="s">
        <v>807</v>
      </c>
      <c r="E41" s="12">
        <v>3</v>
      </c>
      <c r="F41" s="11" t="s">
        <v>809</v>
      </c>
      <c r="G41" s="11" t="s">
        <v>795</v>
      </c>
      <c r="H41" s="13" t="s">
        <v>810</v>
      </c>
    </row>
    <row r="42" spans="1:8" x14ac:dyDescent="0.2">
      <c r="A42" s="23" t="s">
        <v>811</v>
      </c>
      <c r="B42" s="24"/>
      <c r="C42" s="24"/>
      <c r="D42" s="24"/>
      <c r="E42" s="24"/>
      <c r="F42" s="24"/>
      <c r="G42" s="24"/>
      <c r="H42" s="24"/>
    </row>
    <row r="43" spans="1:8" x14ac:dyDescent="0.2">
      <c r="A43" s="10">
        <v>33</v>
      </c>
      <c r="B43" s="11" t="s">
        <v>812</v>
      </c>
      <c r="C43" s="11" t="s">
        <v>768</v>
      </c>
      <c r="D43" s="11" t="s">
        <v>813</v>
      </c>
      <c r="E43" s="12">
        <v>34</v>
      </c>
      <c r="F43" s="11" t="s">
        <v>814</v>
      </c>
      <c r="G43" s="11" t="s">
        <v>815</v>
      </c>
      <c r="H43" s="13" t="s">
        <v>816</v>
      </c>
    </row>
    <row r="44" spans="1:8" x14ac:dyDescent="0.2">
      <c r="A44" s="14">
        <v>34</v>
      </c>
      <c r="B44" s="15" t="s">
        <v>817</v>
      </c>
      <c r="C44" s="15" t="s">
        <v>768</v>
      </c>
      <c r="D44" s="15" t="s">
        <v>73</v>
      </c>
      <c r="E44" s="16">
        <v>28</v>
      </c>
      <c r="F44" s="15" t="s">
        <v>818</v>
      </c>
      <c r="G44" s="15" t="s">
        <v>815</v>
      </c>
      <c r="H44" s="17" t="s">
        <v>819</v>
      </c>
    </row>
    <row r="45" spans="1:8" x14ac:dyDescent="0.2">
      <c r="A45" s="10">
        <v>35</v>
      </c>
      <c r="B45" s="11" t="s">
        <v>820</v>
      </c>
      <c r="C45" s="11" t="s">
        <v>768</v>
      </c>
      <c r="D45" s="11" t="s">
        <v>821</v>
      </c>
      <c r="E45" s="12">
        <v>20</v>
      </c>
      <c r="F45" s="11" t="s">
        <v>794</v>
      </c>
      <c r="G45" s="11" t="s">
        <v>815</v>
      </c>
      <c r="H45" s="13" t="s">
        <v>822</v>
      </c>
    </row>
    <row r="46" spans="1:8" x14ac:dyDescent="0.2">
      <c r="A46" s="14">
        <v>36</v>
      </c>
      <c r="B46" s="15" t="s">
        <v>823</v>
      </c>
      <c r="C46" s="15" t="s">
        <v>768</v>
      </c>
      <c r="D46" s="15" t="s">
        <v>824</v>
      </c>
      <c r="E46" s="16">
        <v>11</v>
      </c>
      <c r="F46" s="15" t="s">
        <v>809</v>
      </c>
      <c r="G46" s="15" t="s">
        <v>815</v>
      </c>
      <c r="H46" s="17" t="s">
        <v>825</v>
      </c>
    </row>
    <row r="47" spans="1:8" x14ac:dyDescent="0.2">
      <c r="A47" s="10">
        <v>37</v>
      </c>
      <c r="B47" s="11" t="s">
        <v>826</v>
      </c>
      <c r="C47" s="11" t="s">
        <v>190</v>
      </c>
      <c r="D47" s="11" t="s">
        <v>824</v>
      </c>
      <c r="E47" s="12">
        <v>8</v>
      </c>
      <c r="F47" s="11" t="s">
        <v>794</v>
      </c>
      <c r="G47" s="11" t="s">
        <v>815</v>
      </c>
      <c r="H47" s="13" t="s">
        <v>827</v>
      </c>
    </row>
    <row r="48" spans="1:8" x14ac:dyDescent="0.2">
      <c r="A48" s="14">
        <v>38</v>
      </c>
      <c r="B48" s="15" t="s">
        <v>828</v>
      </c>
      <c r="C48" s="15" t="s">
        <v>829</v>
      </c>
      <c r="D48" s="15" t="s">
        <v>824</v>
      </c>
      <c r="E48" s="16">
        <v>5</v>
      </c>
      <c r="F48" s="15" t="s">
        <v>830</v>
      </c>
      <c r="G48" s="15" t="s">
        <v>815</v>
      </c>
      <c r="H48" s="17" t="s">
        <v>831</v>
      </c>
    </row>
    <row r="49" spans="1:8" x14ac:dyDescent="0.2">
      <c r="A49" s="10">
        <v>39</v>
      </c>
      <c r="B49" s="11" t="s">
        <v>832</v>
      </c>
      <c r="C49" s="11" t="s">
        <v>95</v>
      </c>
      <c r="D49" s="11" t="s">
        <v>824</v>
      </c>
      <c r="E49" s="12">
        <v>5</v>
      </c>
      <c r="F49" s="11" t="s">
        <v>794</v>
      </c>
      <c r="G49" s="11" t="s">
        <v>815</v>
      </c>
      <c r="H49" s="13" t="s">
        <v>833</v>
      </c>
    </row>
    <row r="50" spans="1:8" x14ac:dyDescent="0.2">
      <c r="A50" s="14">
        <v>40</v>
      </c>
      <c r="B50" s="15" t="s">
        <v>834</v>
      </c>
      <c r="C50" s="15" t="s">
        <v>768</v>
      </c>
      <c r="D50" s="15" t="s">
        <v>824</v>
      </c>
      <c r="E50" s="16">
        <v>3</v>
      </c>
      <c r="F50" s="15" t="s">
        <v>835</v>
      </c>
      <c r="G50" s="15" t="s">
        <v>815</v>
      </c>
      <c r="H50" s="17" t="s">
        <v>836</v>
      </c>
    </row>
    <row r="51" spans="1:8" x14ac:dyDescent="0.2">
      <c r="A51" s="10">
        <v>41</v>
      </c>
      <c r="B51" s="11" t="s">
        <v>837</v>
      </c>
      <c r="C51" s="11" t="s">
        <v>95</v>
      </c>
      <c r="D51" s="11" t="s">
        <v>824</v>
      </c>
      <c r="E51" s="12">
        <v>2</v>
      </c>
      <c r="F51" s="11" t="s">
        <v>809</v>
      </c>
      <c r="G51" s="11" t="s">
        <v>815</v>
      </c>
      <c r="H51" s="13" t="s">
        <v>838</v>
      </c>
    </row>
    <row r="52" spans="1:8" x14ac:dyDescent="0.2">
      <c r="A52" s="23" t="s">
        <v>839</v>
      </c>
      <c r="B52" s="24"/>
      <c r="C52" s="24"/>
      <c r="D52" s="24"/>
      <c r="E52" s="24"/>
      <c r="F52" s="24"/>
      <c r="G52" s="24"/>
      <c r="H52" s="24"/>
    </row>
    <row r="53" spans="1:8" x14ac:dyDescent="0.2">
      <c r="A53" s="10">
        <v>42</v>
      </c>
      <c r="B53" s="11" t="s">
        <v>840</v>
      </c>
      <c r="C53" s="11" t="s">
        <v>768</v>
      </c>
      <c r="D53" s="11" t="s">
        <v>841</v>
      </c>
      <c r="E53" s="12">
        <v>6</v>
      </c>
      <c r="F53" s="11" t="s">
        <v>842</v>
      </c>
      <c r="G53" s="11" t="s">
        <v>843</v>
      </c>
      <c r="H53" s="13" t="s">
        <v>844</v>
      </c>
    </row>
    <row r="54" spans="1:8" x14ac:dyDescent="0.2">
      <c r="A54" s="14">
        <v>43</v>
      </c>
      <c r="B54" s="15" t="s">
        <v>845</v>
      </c>
      <c r="C54" s="15" t="s">
        <v>768</v>
      </c>
      <c r="D54" s="15" t="s">
        <v>67</v>
      </c>
      <c r="E54" s="16">
        <v>5</v>
      </c>
      <c r="F54" s="15" t="s">
        <v>842</v>
      </c>
      <c r="G54" s="15" t="s">
        <v>843</v>
      </c>
      <c r="H54" s="17" t="s">
        <v>846</v>
      </c>
    </row>
    <row r="55" spans="1:8" x14ac:dyDescent="0.2">
      <c r="A55" s="10">
        <v>44</v>
      </c>
      <c r="B55" s="11" t="s">
        <v>847</v>
      </c>
      <c r="C55" s="11" t="s">
        <v>768</v>
      </c>
      <c r="D55" s="11" t="s">
        <v>58</v>
      </c>
      <c r="E55" s="12">
        <v>5</v>
      </c>
      <c r="F55" s="11" t="s">
        <v>842</v>
      </c>
      <c r="G55" s="11" t="s">
        <v>843</v>
      </c>
      <c r="H55" s="13" t="s">
        <v>848</v>
      </c>
    </row>
    <row r="56" spans="1:8" x14ac:dyDescent="0.2">
      <c r="A56" s="14">
        <v>45</v>
      </c>
      <c r="B56" s="15" t="s">
        <v>849</v>
      </c>
      <c r="C56" s="15" t="s">
        <v>768</v>
      </c>
      <c r="D56" s="15" t="s">
        <v>727</v>
      </c>
      <c r="E56" s="16">
        <v>5</v>
      </c>
      <c r="F56" s="15" t="s">
        <v>842</v>
      </c>
      <c r="G56" s="15" t="s">
        <v>843</v>
      </c>
      <c r="H56" s="17" t="s">
        <v>850</v>
      </c>
    </row>
    <row r="57" spans="1:8" x14ac:dyDescent="0.2">
      <c r="A57" s="10">
        <v>46</v>
      </c>
      <c r="B57" s="11" t="s">
        <v>851</v>
      </c>
      <c r="C57" s="11" t="s">
        <v>190</v>
      </c>
      <c r="D57" s="11" t="s">
        <v>852</v>
      </c>
      <c r="E57" s="12">
        <v>1</v>
      </c>
      <c r="F57" s="11" t="s">
        <v>853</v>
      </c>
      <c r="G57" s="11" t="s">
        <v>843</v>
      </c>
      <c r="H57" s="13"/>
    </row>
    <row r="58" spans="1:8" x14ac:dyDescent="0.2">
      <c r="A58" s="23" t="s">
        <v>854</v>
      </c>
      <c r="B58" s="24"/>
      <c r="C58" s="24"/>
      <c r="D58" s="24"/>
      <c r="E58" s="24"/>
      <c r="F58" s="24"/>
      <c r="G58" s="24"/>
      <c r="H58" s="24"/>
    </row>
    <row r="59" spans="1:8" x14ac:dyDescent="0.2">
      <c r="A59" s="10">
        <v>47</v>
      </c>
      <c r="B59" s="11" t="s">
        <v>855</v>
      </c>
      <c r="C59" s="11" t="s">
        <v>768</v>
      </c>
      <c r="D59" s="11" t="s">
        <v>856</v>
      </c>
      <c r="E59" s="12">
        <v>18</v>
      </c>
      <c r="F59" s="11" t="s">
        <v>842</v>
      </c>
      <c r="G59" s="11" t="s">
        <v>857</v>
      </c>
      <c r="H59" s="13" t="s">
        <v>858</v>
      </c>
    </row>
    <row r="60" spans="1:8" x14ac:dyDescent="0.2">
      <c r="A60" s="14">
        <v>48</v>
      </c>
      <c r="B60" s="15" t="s">
        <v>859</v>
      </c>
      <c r="C60" s="15" t="s">
        <v>768</v>
      </c>
      <c r="D60" s="15" t="s">
        <v>860</v>
      </c>
      <c r="E60" s="16">
        <v>18</v>
      </c>
      <c r="F60" s="15" t="s">
        <v>861</v>
      </c>
      <c r="G60" s="15" t="s">
        <v>857</v>
      </c>
      <c r="H60" s="17" t="s">
        <v>862</v>
      </c>
    </row>
    <row r="61" spans="1:8" x14ac:dyDescent="0.2">
      <c r="A61" s="10">
        <v>49</v>
      </c>
      <c r="B61" s="11" t="s">
        <v>863</v>
      </c>
      <c r="C61" s="11" t="s">
        <v>768</v>
      </c>
      <c r="D61" s="11" t="s">
        <v>58</v>
      </c>
      <c r="E61" s="12">
        <v>17</v>
      </c>
      <c r="F61" s="11" t="s">
        <v>861</v>
      </c>
      <c r="G61" s="11" t="s">
        <v>857</v>
      </c>
      <c r="H61" s="13" t="s">
        <v>864</v>
      </c>
    </row>
    <row r="62" spans="1:8" x14ac:dyDescent="0.2">
      <c r="A62" s="14">
        <v>50</v>
      </c>
      <c r="B62" s="15" t="s">
        <v>865</v>
      </c>
      <c r="C62" s="15" t="s">
        <v>768</v>
      </c>
      <c r="D62" s="15" t="s">
        <v>769</v>
      </c>
      <c r="E62" s="16">
        <v>15</v>
      </c>
      <c r="F62" s="15" t="s">
        <v>861</v>
      </c>
      <c r="G62" s="15" t="s">
        <v>857</v>
      </c>
      <c r="H62" s="17" t="s">
        <v>866</v>
      </c>
    </row>
    <row r="63" spans="1:8" x14ac:dyDescent="0.2">
      <c r="A63" s="10">
        <v>51</v>
      </c>
      <c r="B63" s="11" t="s">
        <v>867</v>
      </c>
      <c r="C63" s="11" t="s">
        <v>768</v>
      </c>
      <c r="D63" s="11" t="s">
        <v>868</v>
      </c>
      <c r="E63" s="12">
        <v>7</v>
      </c>
      <c r="F63" s="11" t="s">
        <v>861</v>
      </c>
      <c r="G63" s="11" t="s">
        <v>857</v>
      </c>
      <c r="H63" s="13"/>
    </row>
    <row r="64" spans="1:8" x14ac:dyDescent="0.2">
      <c r="A64" s="14">
        <v>52</v>
      </c>
      <c r="B64" s="15" t="s">
        <v>869</v>
      </c>
      <c r="C64" s="15" t="s">
        <v>768</v>
      </c>
      <c r="D64" s="15" t="s">
        <v>784</v>
      </c>
      <c r="E64" s="16">
        <v>6</v>
      </c>
      <c r="F64" s="15" t="s">
        <v>842</v>
      </c>
      <c r="G64" s="15" t="s">
        <v>857</v>
      </c>
      <c r="H64" s="17" t="s">
        <v>870</v>
      </c>
    </row>
    <row r="65" spans="1:8" x14ac:dyDescent="0.2">
      <c r="A65" s="23" t="s">
        <v>871</v>
      </c>
      <c r="B65" s="24"/>
      <c r="C65" s="24"/>
      <c r="D65" s="24"/>
      <c r="E65" s="24"/>
      <c r="F65" s="24"/>
      <c r="G65" s="24"/>
      <c r="H65" s="24"/>
    </row>
    <row r="66" spans="1:8" x14ac:dyDescent="0.2">
      <c r="A66" s="10">
        <v>53</v>
      </c>
      <c r="B66" s="11" t="s">
        <v>855</v>
      </c>
      <c r="C66" s="11" t="s">
        <v>768</v>
      </c>
      <c r="D66" s="11" t="s">
        <v>856</v>
      </c>
      <c r="E66" s="12">
        <v>18</v>
      </c>
      <c r="F66" s="11" t="s">
        <v>842</v>
      </c>
      <c r="G66" s="11" t="s">
        <v>872</v>
      </c>
      <c r="H66" s="13" t="s">
        <v>873</v>
      </c>
    </row>
    <row r="67" spans="1:8" x14ac:dyDescent="0.2">
      <c r="A67" s="14">
        <v>54</v>
      </c>
      <c r="B67" s="15" t="s">
        <v>874</v>
      </c>
      <c r="C67" s="15" t="s">
        <v>106</v>
      </c>
      <c r="D67" s="15" t="s">
        <v>76</v>
      </c>
      <c r="E67" s="16">
        <v>7</v>
      </c>
      <c r="F67" s="15" t="s">
        <v>818</v>
      </c>
      <c r="G67" s="15" t="s">
        <v>872</v>
      </c>
      <c r="H67" s="17" t="s">
        <v>875</v>
      </c>
    </row>
    <row r="68" spans="1:8" x14ac:dyDescent="0.2">
      <c r="A68" s="10">
        <v>55</v>
      </c>
      <c r="B68" s="11" t="s">
        <v>876</v>
      </c>
      <c r="C68" s="11" t="s">
        <v>768</v>
      </c>
      <c r="D68" s="11" t="s">
        <v>58</v>
      </c>
      <c r="E68" s="12">
        <v>5</v>
      </c>
      <c r="F68" s="11" t="s">
        <v>861</v>
      </c>
      <c r="G68" s="11" t="s">
        <v>872</v>
      </c>
      <c r="H68" s="13"/>
    </row>
    <row r="69" spans="1:8" x14ac:dyDescent="0.2">
      <c r="A69" s="14">
        <v>56</v>
      </c>
      <c r="B69" s="15" t="s">
        <v>877</v>
      </c>
      <c r="C69" s="15" t="s">
        <v>768</v>
      </c>
      <c r="D69" s="15" t="s">
        <v>727</v>
      </c>
      <c r="E69" s="16">
        <v>4</v>
      </c>
      <c r="F69" s="15" t="s">
        <v>861</v>
      </c>
      <c r="G69" s="15" t="s">
        <v>872</v>
      </c>
      <c r="H69" s="17"/>
    </row>
    <row r="70" spans="1:8" x14ac:dyDescent="0.2">
      <c r="A70" s="10">
        <v>57</v>
      </c>
      <c r="B70" s="11" t="s">
        <v>878</v>
      </c>
      <c r="C70" s="11" t="s">
        <v>768</v>
      </c>
      <c r="D70" s="11" t="s">
        <v>879</v>
      </c>
      <c r="E70" s="12"/>
      <c r="F70" s="11" t="s">
        <v>880</v>
      </c>
      <c r="G70" s="11" t="s">
        <v>872</v>
      </c>
      <c r="H70" s="13" t="s">
        <v>881</v>
      </c>
    </row>
    <row r="71" spans="1:8" x14ac:dyDescent="0.2">
      <c r="A71" s="23" t="s">
        <v>882</v>
      </c>
      <c r="B71" s="24"/>
      <c r="C71" s="24"/>
      <c r="D71" s="24"/>
      <c r="E71" s="24"/>
      <c r="F71" s="24"/>
      <c r="G71" s="24"/>
      <c r="H71" s="24"/>
    </row>
    <row r="72" spans="1:8" x14ac:dyDescent="0.2">
      <c r="A72" s="10">
        <v>58</v>
      </c>
      <c r="B72" s="11" t="s">
        <v>883</v>
      </c>
      <c r="C72" s="11" t="s">
        <v>768</v>
      </c>
      <c r="D72" s="11" t="s">
        <v>884</v>
      </c>
      <c r="E72" s="12">
        <v>12</v>
      </c>
      <c r="F72" s="11" t="s">
        <v>885</v>
      </c>
      <c r="G72" s="11" t="s">
        <v>886</v>
      </c>
      <c r="H72" s="13" t="s">
        <v>887</v>
      </c>
    </row>
    <row r="73" spans="1:8" x14ac:dyDescent="0.2">
      <c r="A73" s="14">
        <v>59</v>
      </c>
      <c r="B73" s="15" t="s">
        <v>888</v>
      </c>
      <c r="C73" s="15" t="s">
        <v>768</v>
      </c>
      <c r="D73" s="15" t="s">
        <v>889</v>
      </c>
      <c r="E73" s="16">
        <v>8</v>
      </c>
      <c r="F73" s="15" t="s">
        <v>861</v>
      </c>
      <c r="G73" s="15" t="s">
        <v>886</v>
      </c>
      <c r="H73" s="17" t="s">
        <v>890</v>
      </c>
    </row>
    <row r="74" spans="1:8" x14ac:dyDescent="0.2">
      <c r="A74" s="10">
        <v>60</v>
      </c>
      <c r="B74" s="11" t="s">
        <v>891</v>
      </c>
      <c r="C74" s="11" t="s">
        <v>768</v>
      </c>
      <c r="D74" s="11" t="s">
        <v>727</v>
      </c>
      <c r="E74" s="12">
        <v>6</v>
      </c>
      <c r="F74" s="11" t="s">
        <v>861</v>
      </c>
      <c r="G74" s="11" t="s">
        <v>886</v>
      </c>
      <c r="H74" s="13"/>
    </row>
    <row r="75" spans="1:8" x14ac:dyDescent="0.2">
      <c r="A75" s="14">
        <v>61</v>
      </c>
      <c r="B75" s="15" t="s">
        <v>892</v>
      </c>
      <c r="C75" s="15" t="s">
        <v>768</v>
      </c>
      <c r="D75" s="15" t="s">
        <v>841</v>
      </c>
      <c r="E75" s="16">
        <v>5</v>
      </c>
      <c r="F75" s="15" t="s">
        <v>861</v>
      </c>
      <c r="G75" s="15" t="s">
        <v>886</v>
      </c>
      <c r="H75" s="17"/>
    </row>
    <row r="76" spans="1:8" x14ac:dyDescent="0.2">
      <c r="A76" s="10">
        <v>62</v>
      </c>
      <c r="B76" s="11" t="s">
        <v>893</v>
      </c>
      <c r="C76" s="11" t="s">
        <v>768</v>
      </c>
      <c r="D76" s="11" t="s">
        <v>67</v>
      </c>
      <c r="E76" s="12">
        <v>5</v>
      </c>
      <c r="F76" s="11" t="s">
        <v>861</v>
      </c>
      <c r="G76" s="11" t="s">
        <v>886</v>
      </c>
      <c r="H76" s="13"/>
    </row>
    <row r="77" spans="1:8" x14ac:dyDescent="0.2">
      <c r="A77" s="23" t="s">
        <v>894</v>
      </c>
      <c r="B77" s="24"/>
      <c r="C77" s="24"/>
      <c r="D77" s="24"/>
      <c r="E77" s="24"/>
      <c r="F77" s="24"/>
      <c r="G77" s="24"/>
      <c r="H77" s="24"/>
    </row>
    <row r="78" spans="1:8" x14ac:dyDescent="0.2">
      <c r="A78" s="10">
        <v>63</v>
      </c>
      <c r="B78" s="11" t="s">
        <v>895</v>
      </c>
      <c r="C78" s="11" t="s">
        <v>768</v>
      </c>
      <c r="D78" s="11" t="s">
        <v>896</v>
      </c>
      <c r="E78" s="12">
        <v>30</v>
      </c>
      <c r="F78" s="11" t="s">
        <v>861</v>
      </c>
      <c r="G78" s="11" t="s">
        <v>897</v>
      </c>
      <c r="H78" s="13"/>
    </row>
    <row r="79" spans="1:8" x14ac:dyDescent="0.2">
      <c r="A79" s="14">
        <v>64</v>
      </c>
      <c r="B79" s="15" t="s">
        <v>898</v>
      </c>
      <c r="C79" s="15" t="s">
        <v>768</v>
      </c>
      <c r="D79" s="15" t="s">
        <v>899</v>
      </c>
      <c r="E79" s="16">
        <v>10</v>
      </c>
      <c r="F79" s="15" t="s">
        <v>861</v>
      </c>
      <c r="G79" s="15" t="s">
        <v>897</v>
      </c>
      <c r="H79" s="17" t="s">
        <v>900</v>
      </c>
    </row>
    <row r="80" spans="1:8" x14ac:dyDescent="0.2">
      <c r="A80" s="10">
        <v>65</v>
      </c>
      <c r="B80" s="11" t="s">
        <v>901</v>
      </c>
      <c r="C80" s="11" t="s">
        <v>768</v>
      </c>
      <c r="D80" s="11" t="s">
        <v>902</v>
      </c>
      <c r="E80" s="12">
        <v>8</v>
      </c>
      <c r="F80" s="11" t="s">
        <v>842</v>
      </c>
      <c r="G80" s="11" t="s">
        <v>897</v>
      </c>
      <c r="H80" s="13" t="s">
        <v>903</v>
      </c>
    </row>
    <row r="81" spans="1:8" x14ac:dyDescent="0.2">
      <c r="A81" s="14">
        <v>66</v>
      </c>
      <c r="B81" s="15" t="s">
        <v>904</v>
      </c>
      <c r="C81" s="15" t="s">
        <v>768</v>
      </c>
      <c r="D81" s="15" t="s">
        <v>905</v>
      </c>
      <c r="E81" s="16">
        <v>4</v>
      </c>
      <c r="F81" s="15" t="s">
        <v>885</v>
      </c>
      <c r="G81" s="15" t="s">
        <v>897</v>
      </c>
      <c r="H81" s="17" t="s">
        <v>906</v>
      </c>
    </row>
    <row r="82" spans="1:8" x14ac:dyDescent="0.2">
      <c r="A82" s="23" t="s">
        <v>907</v>
      </c>
      <c r="B82" s="24"/>
      <c r="C82" s="24"/>
      <c r="D82" s="24"/>
      <c r="E82" s="24"/>
      <c r="F82" s="24"/>
      <c r="G82" s="24"/>
      <c r="H82" s="24"/>
    </row>
    <row r="83" spans="1:8" x14ac:dyDescent="0.2">
      <c r="A83" s="10">
        <v>67</v>
      </c>
      <c r="B83" s="11" t="s">
        <v>908</v>
      </c>
      <c r="C83" s="11" t="s">
        <v>95</v>
      </c>
      <c r="D83" s="11" t="s">
        <v>909</v>
      </c>
      <c r="E83" s="12">
        <v>30</v>
      </c>
      <c r="F83" s="11" t="s">
        <v>910</v>
      </c>
      <c r="G83" s="11" t="s">
        <v>911</v>
      </c>
      <c r="H83" s="13" t="s">
        <v>912</v>
      </c>
    </row>
    <row r="84" spans="1:8" x14ac:dyDescent="0.2">
      <c r="A84" s="14">
        <v>68</v>
      </c>
      <c r="B84" s="15" t="s">
        <v>913</v>
      </c>
      <c r="C84" s="15" t="s">
        <v>158</v>
      </c>
      <c r="D84" s="15" t="s">
        <v>71</v>
      </c>
      <c r="E84" s="16">
        <v>15</v>
      </c>
      <c r="F84" s="15" t="s">
        <v>910</v>
      </c>
      <c r="G84" s="15" t="s">
        <v>911</v>
      </c>
      <c r="H84" s="17" t="s">
        <v>914</v>
      </c>
    </row>
    <row r="85" spans="1:8" x14ac:dyDescent="0.2">
      <c r="A85" s="10">
        <v>69</v>
      </c>
      <c r="B85" s="11" t="s">
        <v>915</v>
      </c>
      <c r="C85" s="11" t="s">
        <v>217</v>
      </c>
      <c r="D85" s="11" t="s">
        <v>71</v>
      </c>
      <c r="E85" s="12">
        <v>10</v>
      </c>
      <c r="F85" s="11" t="s">
        <v>910</v>
      </c>
      <c r="G85" s="11" t="s">
        <v>911</v>
      </c>
      <c r="H85" s="13" t="s">
        <v>916</v>
      </c>
    </row>
    <row r="86" spans="1:8" x14ac:dyDescent="0.2">
      <c r="A86" s="14">
        <v>70</v>
      </c>
      <c r="B86" s="15" t="s">
        <v>917</v>
      </c>
      <c r="C86" s="15" t="s">
        <v>100</v>
      </c>
      <c r="D86" s="15" t="s">
        <v>71</v>
      </c>
      <c r="E86" s="16">
        <v>10</v>
      </c>
      <c r="F86" s="15" t="s">
        <v>910</v>
      </c>
      <c r="G86" s="15" t="s">
        <v>911</v>
      </c>
      <c r="H86" s="17" t="s">
        <v>918</v>
      </c>
    </row>
    <row r="87" spans="1:8" x14ac:dyDescent="0.2">
      <c r="A87" s="10">
        <v>71</v>
      </c>
      <c r="B87" s="11" t="s">
        <v>919</v>
      </c>
      <c r="C87" s="11" t="s">
        <v>112</v>
      </c>
      <c r="D87" s="11" t="s">
        <v>71</v>
      </c>
      <c r="E87" s="12">
        <v>8</v>
      </c>
      <c r="F87" s="11" t="s">
        <v>910</v>
      </c>
      <c r="G87" s="11" t="s">
        <v>911</v>
      </c>
      <c r="H87" s="13" t="s">
        <v>920</v>
      </c>
    </row>
    <row r="88" spans="1:8" x14ac:dyDescent="0.2">
      <c r="A88" s="23" t="s">
        <v>921</v>
      </c>
      <c r="B88" s="24"/>
      <c r="C88" s="24"/>
      <c r="D88" s="24"/>
      <c r="E88" s="24"/>
      <c r="F88" s="24"/>
      <c r="G88" s="24"/>
      <c r="H88" s="24"/>
    </row>
    <row r="89" spans="1:8" x14ac:dyDescent="0.2">
      <c r="A89" s="10">
        <v>72</v>
      </c>
      <c r="B89" s="11" t="s">
        <v>922</v>
      </c>
      <c r="C89" s="11" t="s">
        <v>768</v>
      </c>
      <c r="D89" s="11" t="s">
        <v>769</v>
      </c>
      <c r="E89" s="12">
        <v>40</v>
      </c>
      <c r="F89" s="11" t="s">
        <v>923</v>
      </c>
      <c r="G89" s="11" t="s">
        <v>924</v>
      </c>
      <c r="H89" s="13" t="s">
        <v>925</v>
      </c>
    </row>
    <row r="90" spans="1:8" x14ac:dyDescent="0.2">
      <c r="A90" s="14">
        <v>73</v>
      </c>
      <c r="B90" s="15" t="s">
        <v>926</v>
      </c>
      <c r="C90" s="15" t="s">
        <v>95</v>
      </c>
      <c r="D90" s="15" t="s">
        <v>927</v>
      </c>
      <c r="E90" s="16">
        <v>24</v>
      </c>
      <c r="F90" s="15" t="s">
        <v>928</v>
      </c>
      <c r="G90" s="15" t="s">
        <v>924</v>
      </c>
      <c r="H90" s="17" t="s">
        <v>929</v>
      </c>
    </row>
    <row r="91" spans="1:8" x14ac:dyDescent="0.2">
      <c r="A91" s="10">
        <v>74</v>
      </c>
      <c r="B91" s="11" t="s">
        <v>930</v>
      </c>
      <c r="C91" s="11" t="s">
        <v>480</v>
      </c>
      <c r="D91" s="11" t="s">
        <v>727</v>
      </c>
      <c r="E91" s="12"/>
      <c r="F91" s="11" t="s">
        <v>931</v>
      </c>
      <c r="G91" s="11" t="s">
        <v>924</v>
      </c>
      <c r="H91" s="13"/>
    </row>
    <row r="92" spans="1:8" x14ac:dyDescent="0.2">
      <c r="A92" s="14">
        <v>75</v>
      </c>
      <c r="B92" s="15" t="s">
        <v>932</v>
      </c>
      <c r="C92" s="15" t="s">
        <v>768</v>
      </c>
      <c r="D92" s="15" t="s">
        <v>933</v>
      </c>
      <c r="E92" s="16"/>
      <c r="F92" s="15" t="s">
        <v>931</v>
      </c>
      <c r="G92" s="15" t="s">
        <v>924</v>
      </c>
      <c r="H92" s="17" t="s">
        <v>934</v>
      </c>
    </row>
    <row r="93" spans="1:8" x14ac:dyDescent="0.2">
      <c r="A93" s="10">
        <v>76</v>
      </c>
      <c r="B93" s="11" t="s">
        <v>935</v>
      </c>
      <c r="C93" s="11" t="s">
        <v>190</v>
      </c>
      <c r="D93" s="11" t="s">
        <v>71</v>
      </c>
      <c r="E93" s="12"/>
      <c r="F93" s="11" t="s">
        <v>931</v>
      </c>
      <c r="G93" s="11" t="s">
        <v>924</v>
      </c>
      <c r="H93" s="13" t="s">
        <v>779</v>
      </c>
    </row>
    <row r="94" spans="1:8" x14ac:dyDescent="0.2">
      <c r="A94" s="14">
        <v>77</v>
      </c>
      <c r="B94" s="15" t="s">
        <v>936</v>
      </c>
      <c r="C94" s="15" t="s">
        <v>95</v>
      </c>
      <c r="D94" s="15" t="s">
        <v>937</v>
      </c>
      <c r="E94" s="16"/>
      <c r="F94" s="15" t="s">
        <v>931</v>
      </c>
      <c r="G94" s="15" t="s">
        <v>924</v>
      </c>
      <c r="H94" s="17"/>
    </row>
    <row r="95" spans="1:8" x14ac:dyDescent="0.2">
      <c r="A95" s="10">
        <v>78</v>
      </c>
      <c r="B95" s="11" t="s">
        <v>938</v>
      </c>
      <c r="C95" s="11" t="s">
        <v>768</v>
      </c>
      <c r="D95" s="11" t="s">
        <v>939</v>
      </c>
      <c r="E95" s="12"/>
      <c r="F95" s="11" t="s">
        <v>931</v>
      </c>
      <c r="G95" s="11" t="s">
        <v>924</v>
      </c>
      <c r="H95" s="13"/>
    </row>
    <row r="96" spans="1:8" x14ac:dyDescent="0.2">
      <c r="A96" s="14">
        <v>79</v>
      </c>
      <c r="B96" s="15" t="s">
        <v>940</v>
      </c>
      <c r="C96" s="15" t="s">
        <v>184</v>
      </c>
      <c r="D96" s="15" t="s">
        <v>941</v>
      </c>
      <c r="E96" s="16"/>
      <c r="F96" s="15" t="s">
        <v>931</v>
      </c>
      <c r="G96" s="15" t="s">
        <v>924</v>
      </c>
      <c r="H96" s="17"/>
    </row>
    <row r="97" spans="1:8" x14ac:dyDescent="0.2">
      <c r="A97" s="23" t="s">
        <v>942</v>
      </c>
      <c r="B97" s="24"/>
      <c r="C97" s="24"/>
      <c r="D97" s="24"/>
      <c r="E97" s="24"/>
      <c r="F97" s="24"/>
      <c r="G97" s="24"/>
      <c r="H97" s="24"/>
    </row>
    <row r="98" spans="1:8" x14ac:dyDescent="0.2">
      <c r="A98" s="10">
        <v>80</v>
      </c>
      <c r="B98" s="11" t="s">
        <v>943</v>
      </c>
      <c r="C98" s="11" t="s">
        <v>768</v>
      </c>
      <c r="D98" s="11" t="s">
        <v>769</v>
      </c>
      <c r="E98" s="12"/>
      <c r="F98" s="11" t="s">
        <v>944</v>
      </c>
      <c r="G98" s="11" t="s">
        <v>945</v>
      </c>
      <c r="H98" s="13" t="s">
        <v>946</v>
      </c>
    </row>
    <row r="99" spans="1:8" x14ac:dyDescent="0.2">
      <c r="A99" s="14">
        <v>81</v>
      </c>
      <c r="B99" s="15" t="s">
        <v>947</v>
      </c>
      <c r="C99" s="15" t="s">
        <v>768</v>
      </c>
      <c r="D99" s="15" t="s">
        <v>948</v>
      </c>
      <c r="E99" s="16"/>
      <c r="F99" s="15" t="s">
        <v>931</v>
      </c>
      <c r="G99" s="15" t="s">
        <v>945</v>
      </c>
      <c r="H99" s="17" t="s">
        <v>949</v>
      </c>
    </row>
    <row r="100" spans="1:8" x14ac:dyDescent="0.2">
      <c r="A100" s="10">
        <v>82</v>
      </c>
      <c r="B100" s="11" t="s">
        <v>950</v>
      </c>
      <c r="C100" s="11" t="s">
        <v>768</v>
      </c>
      <c r="D100" s="11" t="s">
        <v>769</v>
      </c>
      <c r="E100" s="12"/>
      <c r="F100" s="11" t="s">
        <v>951</v>
      </c>
      <c r="G100" s="11" t="s">
        <v>945</v>
      </c>
      <c r="H100" s="13" t="s">
        <v>952</v>
      </c>
    </row>
    <row r="101" spans="1:8" x14ac:dyDescent="0.2">
      <c r="A101" s="23" t="s">
        <v>953</v>
      </c>
      <c r="B101" s="24"/>
      <c r="C101" s="24"/>
      <c r="D101" s="24"/>
      <c r="E101" s="24"/>
      <c r="F101" s="24"/>
      <c r="G101" s="24"/>
      <c r="H101" s="24"/>
    </row>
    <row r="102" spans="1:8" x14ac:dyDescent="0.2">
      <c r="A102" s="10">
        <v>83</v>
      </c>
      <c r="B102" s="11" t="s">
        <v>954</v>
      </c>
      <c r="C102" s="11" t="s">
        <v>106</v>
      </c>
      <c r="D102" s="11" t="s">
        <v>955</v>
      </c>
      <c r="E102" s="12">
        <v>230</v>
      </c>
      <c r="F102" s="11" t="s">
        <v>956</v>
      </c>
      <c r="G102" s="11" t="s">
        <v>957</v>
      </c>
      <c r="H102" s="13" t="s">
        <v>958</v>
      </c>
    </row>
    <row r="103" spans="1:8" x14ac:dyDescent="0.2">
      <c r="A103" s="14">
        <v>84</v>
      </c>
      <c r="B103" s="15" t="s">
        <v>959</v>
      </c>
      <c r="C103" s="15" t="s">
        <v>106</v>
      </c>
      <c r="D103" s="15" t="s">
        <v>960</v>
      </c>
      <c r="E103" s="16">
        <v>184</v>
      </c>
      <c r="F103" s="15" t="s">
        <v>956</v>
      </c>
      <c r="G103" s="15" t="s">
        <v>957</v>
      </c>
      <c r="H103" s="17" t="s">
        <v>961</v>
      </c>
    </row>
    <row r="104" spans="1:8" x14ac:dyDescent="0.2">
      <c r="A104" s="10">
        <v>85</v>
      </c>
      <c r="B104" s="11" t="s">
        <v>962</v>
      </c>
      <c r="C104" s="11" t="s">
        <v>768</v>
      </c>
      <c r="D104" s="11" t="s">
        <v>70</v>
      </c>
      <c r="E104" s="12">
        <v>15</v>
      </c>
      <c r="F104" s="11" t="s">
        <v>963</v>
      </c>
      <c r="G104" s="11" t="s">
        <v>957</v>
      </c>
      <c r="H104" s="13" t="s">
        <v>964</v>
      </c>
    </row>
    <row r="105" spans="1:8" x14ac:dyDescent="0.2">
      <c r="A105" s="14">
        <v>86</v>
      </c>
      <c r="B105" s="15" t="s">
        <v>965</v>
      </c>
      <c r="C105" s="15" t="s">
        <v>95</v>
      </c>
      <c r="D105" s="15" t="s">
        <v>966</v>
      </c>
      <c r="E105" s="16">
        <v>7</v>
      </c>
      <c r="F105" s="15" t="s">
        <v>963</v>
      </c>
      <c r="G105" s="15" t="s">
        <v>957</v>
      </c>
      <c r="H105" s="17" t="s">
        <v>967</v>
      </c>
    </row>
    <row r="107" spans="1:8" x14ac:dyDescent="0.2">
      <c r="B107" s="2" t="s">
        <v>968</v>
      </c>
    </row>
    <row r="108" spans="1:8" x14ac:dyDescent="0.2">
      <c r="B108" s="2" t="s">
        <v>969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 Me</vt:lpstr>
      <vt:lpstr>Hospital Systems</vt:lpstr>
      <vt:lpstr>Hospitals</vt:lpstr>
      <vt:lpstr>LTC Operators</vt:lpstr>
      <vt:lpstr>LTC Facilities</vt:lpstr>
      <vt:lpstr>Other Facilities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kristin booth</cp:lastModifiedBy>
  <cp:revision>0</cp:revision>
  <dcterms:created xsi:type="dcterms:W3CDTF">2026-08-14T23:03:32Z</dcterms:created>
  <dcterms:modified xsi:type="dcterms:W3CDTF">2026-08-15T19:40:37Z</dcterms:modified>
  <dc:language>en-US</dc:language>
</cp:coreProperties>
</file>