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kristinbooth/Desktop/DSM/"/>
    </mc:Choice>
  </mc:AlternateContent>
  <xr:revisionPtr revIDLastSave="0" documentId="8_{1804DF33-F8FC-2049-B1DB-A5F5997616BD}" xr6:coauthVersionLast="47" xr6:coauthVersionMax="47" xr10:uidLastSave="{00000000-0000-0000-0000-000000000000}"/>
  <bookViews>
    <workbookView xWindow="2280" yWindow="600" windowWidth="23780" windowHeight="19660" tabRatio="500" activeTab="3" xr2:uid="{00000000-000D-0000-FFFF-FFFF00000000}"/>
  </bookViews>
  <sheets>
    <sheet name="Read Me" sheetId="1" r:id="rId1"/>
    <sheet name="4-Year Colleges" sheetId="2" r:id="rId2"/>
    <sheet name="Community Colleges" sheetId="3" r:id="rId3"/>
    <sheet name="School Districts" sheetId="4" r:id="rId4"/>
  </sheets>
  <definedNames>
    <definedName name="_xlnm._FilterDatabase" localSheetId="1" hidden="1">'4-Year Colleges'!$A$4:$G$20</definedName>
    <definedName name="_xlnm._FilterDatabase" localSheetId="2" hidden="1">'Community Colleges'!$A$4:$G$13</definedName>
    <definedName name="_xlnm._FilterDatabase" localSheetId="3" hidden="1">'School Districts'!$A$4:$H$23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4" l="1"/>
  <c r="F24" i="4"/>
  <c r="F28" i="4" s="1"/>
  <c r="E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14" i="3"/>
  <c r="F21" i="2"/>
  <c r="G24" i="4" l="1"/>
</calcChain>
</file>

<file path=xl/sharedStrings.xml><?xml version="1.0" encoding="utf-8"?>
<sst xmlns="http://schemas.openxmlformats.org/spreadsheetml/2006/main" count="235" uniqueCount="164">
  <si>
    <t>Denver Metro Education Market — Account Universe</t>
  </si>
  <si>
    <t>Prepared for Kristin Boothart | Hillyard, Inc. — District Sales Manager, Denver | Compiled August 14, 2026</t>
  </si>
  <si>
    <t>WHAT'S IN THIS WORKBOOK</t>
  </si>
  <si>
    <t>4-Year Colleges</t>
  </si>
  <si>
    <t>Public and private four-year institutions in the Denver metro plus the extended Front Range, ranked by total enrollment (largest to smallest).</t>
  </si>
  <si>
    <t>Community Colleges</t>
  </si>
  <si>
    <t>Two-year and technical colleges serving the metro and extended Front Range, ranked by total enrollment.</t>
  </si>
  <si>
    <t>School Districts</t>
  </si>
  <si>
    <t>K-12 public school districts in the Denver metro, ranked by student enrollment, with the number of individual schools in each.</t>
  </si>
  <si>
    <t>HOW TO READ THE COLUMNS</t>
  </si>
  <si>
    <t>Region</t>
  </si>
  <si>
    <t>Metro = inside the 7-county Denver metro. Extended = Front Range markets within roughly a 50-90 minute drive (Fort Collins, Greeley, Colorado Springs) — include or exclude depending on how your district lines are drawn.</t>
  </si>
  <si>
    <t>Enrollment</t>
  </si>
  <si>
    <t>Total headcount (undergrad + grad for colleges; K-12 student count for districts). Figures are the most recent published year available and come from different reporting cycles, so treat them as sizing guides, not audited counts.</t>
  </si>
  <si>
    <t>Schools</t>
  </si>
  <si>
    <t>Number of individual school buildings/sites in the district — the practical unit for janitorial consumption, since each site is its own custodial operation.</t>
  </si>
  <si>
    <t>Notes (add your own)</t>
  </si>
  <si>
    <t>Blank column for your working notes. Example of how to use it: "Incumbent = Bunzl, contract renews Jun-2027, met w/ Ops Dir 9/12".</t>
  </si>
  <si>
    <t>WHY SCHOOL COUNT MATTERS AS MUCH AS ENROLLMENT</t>
  </si>
  <si>
    <t>Enrollment tells you the size of the prize; school count tells you the shape of the work. A 60,000-student district spread across 89 buildings is a very different service model — and a very different equipment and chemical footprint — than one concentrated in 40. Custodial supply consumption tracks square footage and site count more closely than it tracks headcount.</t>
  </si>
  <si>
    <t>CAVEATS</t>
  </si>
  <si>
    <t>1. Enrollment years vary by source (K-12 figures reflect recent state/Niche reporting; higher-ed figures span 2023-24 through 2025-26). Verify anything you plan to put in a formal proposal.</t>
  </si>
  <si>
    <t>2. Colorado Charter School Institute is a statewide charter authorizer, not a geographic district. Its schools are scattered across Colorado, not all in the metro — treat it as a channel, not a territory.</t>
  </si>
  <si>
    <t>3. Higher-ed enrollment includes online-only students at some institutions (notably CSU Global and Colorado Christian), which overstates the physical-campus footprint that actually drives cleaning spend.</t>
  </si>
  <si>
    <t>4. Private K-12, charter networks, and higher-ed contract cleaners (Aramark, SSC, ABM) are not covered here and are worth a separate pass.</t>
  </si>
  <si>
    <t>SOURCES</t>
  </si>
  <si>
    <t>Niche (Denver metro district enrollment and school counts); Colorado Community College System; Community College Review; UnisHub Colorado directory; CollegeEvaluator Colorado enrollment comparison; Colorado Department of Education SchoolView; institutional websites.</t>
  </si>
  <si>
    <t>4-Year Colleges &amp; Universities — Denver Metro and Front Range</t>
  </si>
  <si>
    <t>Ranked by total enrollment, largest to smallest. Enrollment = total headcount (undergraduate + graduate).</t>
  </si>
  <si>
    <t>#</t>
  </si>
  <si>
    <t>Institution</t>
  </si>
  <si>
    <t>City</t>
  </si>
  <si>
    <t>Control / Type</t>
  </si>
  <si>
    <t>Total Enrollment</t>
  </si>
  <si>
    <t>University of Colorado Boulder</t>
  </si>
  <si>
    <t>Boulder</t>
  </si>
  <si>
    <t>Public research</t>
  </si>
  <si>
    <t>Metro (NW)</t>
  </si>
  <si>
    <t>Colorado State University</t>
  </si>
  <si>
    <t>Fort Collins</t>
  </si>
  <si>
    <t>Extended (~65 mi N)</t>
  </si>
  <si>
    <t>University of Colorado Denver | Anschutz</t>
  </si>
  <si>
    <t>Denver / Aurora</t>
  </si>
  <si>
    <t>Metro (core)</t>
  </si>
  <si>
    <t>Metropolitan State University of Denver</t>
  </si>
  <si>
    <t>Denver (Auraria)</t>
  </si>
  <si>
    <t>Public</t>
  </si>
  <si>
    <t>University of Denver</t>
  </si>
  <si>
    <t>Denver</t>
  </si>
  <si>
    <t>Private</t>
  </si>
  <si>
    <t>Colorado State University Global</t>
  </si>
  <si>
    <t>Aurora</t>
  </si>
  <si>
    <t>Public (online)</t>
  </si>
  <si>
    <t>Metro (E)</t>
  </si>
  <si>
    <t>University of Northern Colorado</t>
  </si>
  <si>
    <t>Greeley</t>
  </si>
  <si>
    <t>Extended (~50 mi N)</t>
  </si>
  <si>
    <t>Colorado Christian University</t>
  </si>
  <si>
    <t>Lakewood</t>
  </si>
  <si>
    <t>Metro (W)</t>
  </si>
  <si>
    <t>Colorado School of Mines</t>
  </si>
  <si>
    <t>Golden</t>
  </si>
  <si>
    <t>Regis University</t>
  </si>
  <si>
    <t>Metro (N)</t>
  </si>
  <si>
    <t>Naropa University</t>
  </si>
  <si>
    <t>Denver College of Nursing</t>
  </si>
  <si>
    <t>Rocky Vista University</t>
  </si>
  <si>
    <t>Parker</t>
  </si>
  <si>
    <t>Private (health sci.)</t>
  </si>
  <si>
    <t>Metro (SE)</t>
  </si>
  <si>
    <t>Denver Seminary</t>
  </si>
  <si>
    <t>Littleton</t>
  </si>
  <si>
    <t>Private graduate</t>
  </si>
  <si>
    <t>Metro (S)</t>
  </si>
  <si>
    <t>Rocky Mountain College of Art + Design</t>
  </si>
  <si>
    <t>Iliff School of Theology</t>
  </si>
  <si>
    <t>TOTAL — all institutions listed</t>
  </si>
  <si>
    <t>Approximate figures (Rocky Vista, RMCAD, Iliff) are flagged in Notes. Enrollment years vary by institution; see Read Me.</t>
  </si>
  <si>
    <t>Outside this list but sometimes in a wider Colorado assignment: US Air Force Academy, Colorado College, and UCCS (all Colorado Springs); CSU Pueblo; Colorado Mesa (Grand Junction); Fort Lewis (Durango); Western Colorado (Gunnison); Adams State (Alamosa).</t>
  </si>
  <si>
    <t>Community &amp; Technical Colleges — Denver Metro and Front Range</t>
  </si>
  <si>
    <t>Ranked by total enrollment, largest to smallest. CCCS = Colorado Community College System (13 colleges statewide, centralized purchasing worth knowing about).</t>
  </si>
  <si>
    <t>System / Governance</t>
  </si>
  <si>
    <t>Front Range Community College</t>
  </si>
  <si>
    <t>Westminster</t>
  </si>
  <si>
    <t>CCCS</t>
  </si>
  <si>
    <t>Arapahoe Community College</t>
  </si>
  <si>
    <t>Pikes Peak State College</t>
  </si>
  <si>
    <t>Colorado Springs</t>
  </si>
  <si>
    <t>Extended (~70 mi S)</t>
  </si>
  <si>
    <t>Aims Community College</t>
  </si>
  <si>
    <t>Independent district</t>
  </si>
  <si>
    <t>Community College of Aurora</t>
  </si>
  <si>
    <t>Red Rocks Community College</t>
  </si>
  <si>
    <t>Community College of Denver</t>
  </si>
  <si>
    <t>Emily Griffith Technical College</t>
  </si>
  <si>
    <t>Denver Public Schools</t>
  </si>
  <si>
    <t>Pickens Technical College</t>
  </si>
  <si>
    <t>Aurora Public Schools</t>
  </si>
  <si>
    <t>n/a</t>
  </si>
  <si>
    <t>Note on the campus detail column: several of these run 2-4 physical campuses. Each is a separate custodial operation even though it rolls up to one enrollment number.</t>
  </si>
  <si>
    <t>CCCS system office sets some statewide contracts across its 13 colleges — worth confirming whether Denver-area CCCS campuses buy locally or off a system agreement.</t>
  </si>
  <si>
    <t>K-12 Public School Districts — Denver Metro</t>
  </si>
  <si>
    <t>Ranked by student enrollment, largest to smallest. 'Schools' = number of individual school sites, the practical unit for custodial supply consumption.</t>
  </si>
  <si>
    <t>District</t>
  </si>
  <si>
    <t>Headquarters</t>
  </si>
  <si>
    <t>County</t>
  </si>
  <si>
    <t>Students</t>
  </si>
  <si>
    <t>Avg Students / School</t>
  </si>
  <si>
    <t>Denver Public Schools (Denver County 1)</t>
  </si>
  <si>
    <t>Jefferson County Public Schools (Jeffco R-1)</t>
  </si>
  <si>
    <t>Jefferson</t>
  </si>
  <si>
    <t>Covers Lakewood, Arvada, Golden, Littleton (west), Evergreen</t>
  </si>
  <si>
    <t>Douglas County School District RE-1</t>
  </si>
  <si>
    <t>Castle Rock</t>
  </si>
  <si>
    <t>Douglas</t>
  </si>
  <si>
    <t>Covers Highlands Ranch, Parker, Castle Rock, Lone Tree</t>
  </si>
  <si>
    <t>Cherry Creek School District 5</t>
  </si>
  <si>
    <t>Greenwood Village</t>
  </si>
  <si>
    <t>Arapahoe</t>
  </si>
  <si>
    <t>Covers Centennial, Greenwood Village, south Aurora</t>
  </si>
  <si>
    <t>Aurora Public Schools (Adams-Arapahoe 28J)</t>
  </si>
  <si>
    <t>Adams / Arapahoe</t>
  </si>
  <si>
    <t>Also operates Pickens Technical College</t>
  </si>
  <si>
    <t>Adams 12 Five Star Schools</t>
  </si>
  <si>
    <t>Thornton</t>
  </si>
  <si>
    <t>Adams</t>
  </si>
  <si>
    <t>Covers Thornton, Northglenn, Federal Heights, part of Broomfield</t>
  </si>
  <si>
    <t>St. Vrain Valley School District RE-1J</t>
  </si>
  <si>
    <t>Longmont</t>
  </si>
  <si>
    <t>Boulder / Weld</t>
  </si>
  <si>
    <t>Covers Longmont, Erie, Frederick, Firestone, Mead</t>
  </si>
  <si>
    <t>Boulder Valley School District RE-2</t>
  </si>
  <si>
    <t>Covers Boulder, Louisville, Lafayette, Superior, Nederland</t>
  </si>
  <si>
    <t>School District 27J</t>
  </si>
  <si>
    <t>Brighton</t>
  </si>
  <si>
    <t>Fast-growing; covers Brighton, Commerce City (north), Lochbuie</t>
  </si>
  <si>
    <t>Colorado Charter School Institute</t>
  </si>
  <si>
    <t>Denver (statewide)</t>
  </si>
  <si>
    <t>Statewide</t>
  </si>
  <si>
    <t>Statewide charter authorizer, NOT a geographic district — schools spread across CO</t>
  </si>
  <si>
    <t>Littleton Public Schools 6</t>
  </si>
  <si>
    <t>Westminster Public Schools 50</t>
  </si>
  <si>
    <t>Mapleton Public Schools 1</t>
  </si>
  <si>
    <t>Small enrollment but 20 sites — high site-to-student ratio</t>
  </si>
  <si>
    <t>Adams County School District 14</t>
  </si>
  <si>
    <t>Commerce City</t>
  </si>
  <si>
    <t>Weld County School District RE-8</t>
  </si>
  <si>
    <t>Fort Lupton</t>
  </si>
  <si>
    <t>Weld</t>
  </si>
  <si>
    <t>Englewood Schools 1</t>
  </si>
  <si>
    <t>Englewood</t>
  </si>
  <si>
    <t>Elizabeth School District C-1</t>
  </si>
  <si>
    <t>Elizabeth</t>
  </si>
  <si>
    <t>Elbert</t>
  </si>
  <si>
    <t>Bennett School District 29J</t>
  </si>
  <si>
    <t>Bennett</t>
  </si>
  <si>
    <t>Sheridan School District 2</t>
  </si>
  <si>
    <t>Sheridan</t>
  </si>
  <si>
    <t>TOTAL — Denver metro districts listed</t>
  </si>
  <si>
    <t>Top 5 districts alone account for a majority of metro K-12 enrollment — see the concentration line below.</t>
  </si>
  <si>
    <t>Top 5 districts as % of total metro students:</t>
  </si>
  <si>
    <t>Top 5 districts as % of total metro school sites:</t>
  </si>
  <si>
    <t>Adjacent mountain districts not included above (small, enrollment not verified): Clear Creek RE-1 (Idaho Springs, ~4 schools) and Gilpin County RE-1 (Black Hawk, 2 schools).</t>
  </si>
  <si>
    <t>Colorado Charter School Institute is included for completeness but is a statewide authorizer — do not count its 19,960 students as all metro.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</si>
</sst>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  <font>
      <b/>
      <sz val="14"/>
      <color rgb="FF1F3864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  <fill>
      <patternFill patternType="solid">
        <fgColor rgb="FFFFF2CC"/>
        <bgColor rgb="FFF2F5FA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2" fillId="0" borderId="1" xfId="0" applyFont="1" applyBorder="1"/>
    <xf numFmtId="0" fontId="0" fillId="0" borderId="1" xfId="0" applyBorder="1"/>
    <xf numFmtId="0" fontId="7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right"/>
    </xf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 vertical="center"/>
    </xf>
    <xf numFmtId="3" fontId="4" fillId="3" borderId="2" xfId="0" applyNumberFormat="1" applyFont="1" applyFill="1" applyBorder="1" applyAlignment="1">
      <alignment horizontal="right"/>
    </xf>
    <xf numFmtId="0" fontId="0" fillId="4" borderId="2" xfId="0" applyFill="1" applyBorder="1"/>
    <xf numFmtId="0" fontId="3" fillId="4" borderId="2" xfId="0" applyFont="1" applyFill="1" applyBorder="1"/>
    <xf numFmtId="3" fontId="3" fillId="4" borderId="2" xfId="0" applyNumberFormat="1" applyFont="1" applyFill="1" applyBorder="1"/>
    <xf numFmtId="0" fontId="2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3" fontId="3" fillId="4" borderId="2" xfId="0" applyNumberFormat="1" applyFont="1" applyFill="1" applyBorder="1" applyAlignment="1">
      <alignment horizontal="right"/>
    </xf>
    <xf numFmtId="164" fontId="3" fillId="4" borderId="0" xfId="0" applyNumberFormat="1" applyFont="1" applyFill="1" applyAlignment="1">
      <alignment horizontal="right"/>
    </xf>
    <xf numFmtId="0" fontId="4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5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showGridLines="0" topLeftCell="A11" zoomScale="130" zoomScaleNormal="130" workbookViewId="0"/>
  </sheetViews>
  <sheetFormatPr baseColWidth="10" defaultColWidth="8.6640625" defaultRowHeight="15" x14ac:dyDescent="0.2"/>
  <cols>
    <col min="1" max="1" width="26" customWidth="1"/>
    <col min="2" max="2" width="108" customWidth="1"/>
  </cols>
  <sheetData>
    <row r="1" spans="1:2" ht="20" x14ac:dyDescent="0.2">
      <c r="A1" s="1" t="s">
        <v>0</v>
      </c>
    </row>
    <row r="2" spans="1:2" x14ac:dyDescent="0.2">
      <c r="A2" s="2" t="s">
        <v>1</v>
      </c>
    </row>
    <row r="4" spans="1:2" x14ac:dyDescent="0.2">
      <c r="A4" s="3"/>
      <c r="B4" s="4"/>
    </row>
    <row r="5" spans="1:2" x14ac:dyDescent="0.2">
      <c r="A5" s="5" t="s">
        <v>2</v>
      </c>
      <c r="B5" s="4"/>
    </row>
    <row r="6" spans="1:2" ht="30" customHeight="1" x14ac:dyDescent="0.2">
      <c r="A6" s="3" t="s">
        <v>3</v>
      </c>
      <c r="B6" s="4" t="s">
        <v>4</v>
      </c>
    </row>
    <row r="7" spans="1:2" ht="30" customHeight="1" x14ac:dyDescent="0.2">
      <c r="A7" s="3" t="s">
        <v>5</v>
      </c>
      <c r="B7" s="4" t="s">
        <v>6</v>
      </c>
    </row>
    <row r="8" spans="1:2" ht="30" customHeight="1" x14ac:dyDescent="0.2">
      <c r="A8" s="3" t="s">
        <v>7</v>
      </c>
      <c r="B8" s="4" t="s">
        <v>8</v>
      </c>
    </row>
    <row r="9" spans="1:2" x14ac:dyDescent="0.2">
      <c r="A9" s="3"/>
      <c r="B9" s="4"/>
    </row>
    <row r="10" spans="1:2" x14ac:dyDescent="0.2">
      <c r="A10" s="5" t="s">
        <v>9</v>
      </c>
      <c r="B10" s="4"/>
    </row>
    <row r="11" spans="1:2" ht="45" customHeight="1" x14ac:dyDescent="0.2">
      <c r="A11" s="3" t="s">
        <v>10</v>
      </c>
      <c r="B11" s="4" t="s">
        <v>11</v>
      </c>
    </row>
    <row r="12" spans="1:2" ht="45" customHeight="1" x14ac:dyDescent="0.2">
      <c r="A12" s="3" t="s">
        <v>12</v>
      </c>
      <c r="B12" s="4" t="s">
        <v>13</v>
      </c>
    </row>
    <row r="13" spans="1:2" ht="45" customHeight="1" x14ac:dyDescent="0.2">
      <c r="A13" s="3" t="s">
        <v>14</v>
      </c>
      <c r="B13" s="4" t="s">
        <v>15</v>
      </c>
    </row>
    <row r="14" spans="1:2" ht="30" customHeight="1" x14ac:dyDescent="0.2">
      <c r="A14" s="3" t="s">
        <v>16</v>
      </c>
      <c r="B14" s="4" t="s">
        <v>17</v>
      </c>
    </row>
    <row r="15" spans="1:2" x14ac:dyDescent="0.2">
      <c r="A15" s="3"/>
      <c r="B15" s="4"/>
    </row>
    <row r="16" spans="1:2" x14ac:dyDescent="0.2">
      <c r="A16" s="5" t="s">
        <v>18</v>
      </c>
      <c r="B16" s="4"/>
    </row>
    <row r="17" spans="1:2" ht="45" customHeight="1" x14ac:dyDescent="0.2">
      <c r="A17" s="3"/>
      <c r="B17" s="4" t="s">
        <v>19</v>
      </c>
    </row>
    <row r="18" spans="1:2" x14ac:dyDescent="0.2">
      <c r="A18" s="3"/>
      <c r="B18" s="4"/>
    </row>
    <row r="19" spans="1:2" x14ac:dyDescent="0.2">
      <c r="A19" s="5" t="s">
        <v>20</v>
      </c>
      <c r="B19" s="4"/>
    </row>
    <row r="20" spans="1:2" ht="45" customHeight="1" x14ac:dyDescent="0.2">
      <c r="A20" s="3"/>
      <c r="B20" s="4" t="s">
        <v>21</v>
      </c>
    </row>
    <row r="21" spans="1:2" ht="45" customHeight="1" x14ac:dyDescent="0.2">
      <c r="A21" s="3"/>
      <c r="B21" s="4" t="s">
        <v>22</v>
      </c>
    </row>
    <row r="22" spans="1:2" ht="45" customHeight="1" x14ac:dyDescent="0.2">
      <c r="A22" s="3"/>
      <c r="B22" s="4" t="s">
        <v>23</v>
      </c>
    </row>
    <row r="23" spans="1:2" ht="30" customHeight="1" x14ac:dyDescent="0.2">
      <c r="A23" s="3"/>
      <c r="B23" s="4" t="s">
        <v>24</v>
      </c>
    </row>
    <row r="24" spans="1:2" x14ac:dyDescent="0.2">
      <c r="A24" s="3"/>
      <c r="B24" s="4"/>
    </row>
    <row r="25" spans="1:2" x14ac:dyDescent="0.2">
      <c r="A25" s="5" t="s">
        <v>25</v>
      </c>
      <c r="B25" s="4"/>
    </row>
    <row r="26" spans="1:2" ht="45" customHeight="1" x14ac:dyDescent="0.2">
      <c r="A26" s="3"/>
      <c r="B26" s="4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showGridLines="0" zoomScaleNormal="100" workbookViewId="0">
      <pane ySplit="4" topLeftCell="A5" activePane="bottomLeft" state="frozen"/>
      <selection pane="bottomLeft" activeCell="B26" sqref="B26"/>
    </sheetView>
  </sheetViews>
  <sheetFormatPr baseColWidth="10" defaultColWidth="8.6640625" defaultRowHeight="15" x14ac:dyDescent="0.2"/>
  <cols>
    <col min="1" max="1" width="5" customWidth="1"/>
    <col min="2" max="2" width="40" customWidth="1"/>
    <col min="3" max="3" width="18" customWidth="1"/>
    <col min="4" max="5" width="20" customWidth="1"/>
    <col min="6" max="6" width="16" customWidth="1"/>
    <col min="7" max="7" width="46" customWidth="1"/>
  </cols>
  <sheetData>
    <row r="1" spans="1:7" ht="19.5" customHeight="1" x14ac:dyDescent="0.2">
      <c r="A1" s="6" t="s">
        <v>27</v>
      </c>
    </row>
    <row r="2" spans="1:7" x14ac:dyDescent="0.2">
      <c r="A2" s="7" t="s">
        <v>28</v>
      </c>
      <c r="B2" s="8"/>
      <c r="C2" s="8"/>
      <c r="D2" s="8"/>
      <c r="E2" s="8"/>
      <c r="F2" s="8"/>
      <c r="G2" s="8"/>
    </row>
    <row r="4" spans="1:7" ht="30" customHeight="1" x14ac:dyDescent="0.2">
      <c r="A4" s="9" t="s">
        <v>29</v>
      </c>
      <c r="B4" s="9" t="s">
        <v>30</v>
      </c>
      <c r="C4" s="9" t="s">
        <v>31</v>
      </c>
      <c r="D4" s="9" t="s">
        <v>32</v>
      </c>
      <c r="E4" s="9" t="s">
        <v>10</v>
      </c>
      <c r="F4" s="9" t="s">
        <v>33</v>
      </c>
      <c r="G4" s="9" t="s">
        <v>16</v>
      </c>
    </row>
    <row r="5" spans="1:7" x14ac:dyDescent="0.2">
      <c r="A5" s="10">
        <v>1</v>
      </c>
      <c r="B5" s="11" t="s">
        <v>34</v>
      </c>
      <c r="C5" s="11" t="s">
        <v>35</v>
      </c>
      <c r="D5" s="11" t="s">
        <v>36</v>
      </c>
      <c r="E5" s="11" t="s">
        <v>37</v>
      </c>
      <c r="F5" s="12">
        <v>41432</v>
      </c>
      <c r="G5" s="11"/>
    </row>
    <row r="6" spans="1:7" x14ac:dyDescent="0.2">
      <c r="A6" s="13">
        <v>2</v>
      </c>
      <c r="B6" s="14" t="s">
        <v>38</v>
      </c>
      <c r="C6" s="14" t="s">
        <v>39</v>
      </c>
      <c r="D6" s="14" t="s">
        <v>36</v>
      </c>
      <c r="E6" s="14" t="s">
        <v>40</v>
      </c>
      <c r="F6" s="15">
        <v>34096</v>
      </c>
      <c r="G6" s="14"/>
    </row>
    <row r="7" spans="1:7" x14ac:dyDescent="0.2">
      <c r="A7" s="10">
        <v>3</v>
      </c>
      <c r="B7" s="11" t="s">
        <v>41</v>
      </c>
      <c r="C7" s="11" t="s">
        <v>42</v>
      </c>
      <c r="D7" s="11" t="s">
        <v>36</v>
      </c>
      <c r="E7" s="11" t="s">
        <v>43</v>
      </c>
      <c r="F7" s="12">
        <v>23409</v>
      </c>
      <c r="G7" s="11"/>
    </row>
    <row r="8" spans="1:7" x14ac:dyDescent="0.2">
      <c r="A8" s="13">
        <v>4</v>
      </c>
      <c r="B8" s="14" t="s">
        <v>44</v>
      </c>
      <c r="C8" s="14" t="s">
        <v>45</v>
      </c>
      <c r="D8" s="14" t="s">
        <v>46</v>
      </c>
      <c r="E8" s="14" t="s">
        <v>43</v>
      </c>
      <c r="F8" s="15">
        <v>17593</v>
      </c>
      <c r="G8" s="14"/>
    </row>
    <row r="9" spans="1:7" x14ac:dyDescent="0.2">
      <c r="A9" s="10">
        <v>5</v>
      </c>
      <c r="B9" s="11" t="s">
        <v>47</v>
      </c>
      <c r="C9" s="11" t="s">
        <v>48</v>
      </c>
      <c r="D9" s="11" t="s">
        <v>49</v>
      </c>
      <c r="E9" s="11" t="s">
        <v>43</v>
      </c>
      <c r="F9" s="12">
        <v>13387</v>
      </c>
      <c r="G9" s="11"/>
    </row>
    <row r="10" spans="1:7" x14ac:dyDescent="0.2">
      <c r="A10" s="13">
        <v>6</v>
      </c>
      <c r="B10" s="14" t="s">
        <v>50</v>
      </c>
      <c r="C10" s="14" t="s">
        <v>51</v>
      </c>
      <c r="D10" s="14" t="s">
        <v>52</v>
      </c>
      <c r="E10" s="14" t="s">
        <v>53</v>
      </c>
      <c r="F10" s="15">
        <v>9507</v>
      </c>
      <c r="G10" s="14"/>
    </row>
    <row r="11" spans="1:7" x14ac:dyDescent="0.2">
      <c r="A11" s="10">
        <v>7</v>
      </c>
      <c r="B11" s="11" t="s">
        <v>54</v>
      </c>
      <c r="C11" s="11" t="s">
        <v>55</v>
      </c>
      <c r="D11" s="11" t="s">
        <v>46</v>
      </c>
      <c r="E11" s="11" t="s">
        <v>56</v>
      </c>
      <c r="F11" s="12">
        <v>8869</v>
      </c>
      <c r="G11" s="11"/>
    </row>
    <row r="12" spans="1:7" x14ac:dyDescent="0.2">
      <c r="A12" s="13">
        <v>8</v>
      </c>
      <c r="B12" s="14" t="s">
        <v>57</v>
      </c>
      <c r="C12" s="14" t="s">
        <v>58</v>
      </c>
      <c r="D12" s="14" t="s">
        <v>49</v>
      </c>
      <c r="E12" s="14" t="s">
        <v>59</v>
      </c>
      <c r="F12" s="15">
        <v>8254</v>
      </c>
      <c r="G12" s="14"/>
    </row>
    <row r="13" spans="1:7" x14ac:dyDescent="0.2">
      <c r="A13" s="10">
        <v>9</v>
      </c>
      <c r="B13" s="11" t="s">
        <v>60</v>
      </c>
      <c r="C13" s="11" t="s">
        <v>61</v>
      </c>
      <c r="D13" s="11" t="s">
        <v>46</v>
      </c>
      <c r="E13" s="11" t="s">
        <v>59</v>
      </c>
      <c r="F13" s="12">
        <v>8044</v>
      </c>
      <c r="G13" s="11"/>
    </row>
    <row r="14" spans="1:7" x14ac:dyDescent="0.2">
      <c r="A14" s="13">
        <v>10</v>
      </c>
      <c r="B14" s="14" t="s">
        <v>62</v>
      </c>
      <c r="C14" s="14" t="s">
        <v>48</v>
      </c>
      <c r="D14" s="14" t="s">
        <v>49</v>
      </c>
      <c r="E14" s="14" t="s">
        <v>63</v>
      </c>
      <c r="F14" s="15">
        <v>4631</v>
      </c>
      <c r="G14" s="14"/>
    </row>
    <row r="15" spans="1:7" x14ac:dyDescent="0.2">
      <c r="A15" s="10">
        <v>11</v>
      </c>
      <c r="B15" s="11" t="s">
        <v>64</v>
      </c>
      <c r="C15" s="11" t="s">
        <v>35</v>
      </c>
      <c r="D15" s="11" t="s">
        <v>49</v>
      </c>
      <c r="E15" s="11" t="s">
        <v>37</v>
      </c>
      <c r="F15" s="12">
        <v>1117</v>
      </c>
      <c r="G15" s="11"/>
    </row>
    <row r="16" spans="1:7" x14ac:dyDescent="0.2">
      <c r="A16" s="13">
        <v>12</v>
      </c>
      <c r="B16" s="14" t="s">
        <v>65</v>
      </c>
      <c r="C16" s="14" t="s">
        <v>48</v>
      </c>
      <c r="D16" s="14" t="s">
        <v>49</v>
      </c>
      <c r="E16" s="14" t="s">
        <v>43</v>
      </c>
      <c r="F16" s="15">
        <v>1008</v>
      </c>
      <c r="G16" s="14"/>
    </row>
    <row r="17" spans="1:7" x14ac:dyDescent="0.2">
      <c r="A17" s="10">
        <v>13</v>
      </c>
      <c r="B17" s="11" t="s">
        <v>66</v>
      </c>
      <c r="C17" s="11" t="s">
        <v>67</v>
      </c>
      <c r="D17" s="11" t="s">
        <v>68</v>
      </c>
      <c r="E17" s="11" t="s">
        <v>69</v>
      </c>
      <c r="F17" s="12">
        <v>1000</v>
      </c>
      <c r="G17" s="11"/>
    </row>
    <row r="18" spans="1:7" x14ac:dyDescent="0.2">
      <c r="A18" s="13">
        <v>14</v>
      </c>
      <c r="B18" s="14" t="s">
        <v>70</v>
      </c>
      <c r="C18" s="14" t="s">
        <v>71</v>
      </c>
      <c r="D18" s="14" t="s">
        <v>72</v>
      </c>
      <c r="E18" s="14" t="s">
        <v>73</v>
      </c>
      <c r="F18" s="15">
        <v>837</v>
      </c>
      <c r="G18" s="14"/>
    </row>
    <row r="19" spans="1:7" x14ac:dyDescent="0.2">
      <c r="A19" s="10">
        <v>15</v>
      </c>
      <c r="B19" s="11" t="s">
        <v>74</v>
      </c>
      <c r="C19" s="11" t="s">
        <v>58</v>
      </c>
      <c r="D19" s="11" t="s">
        <v>49</v>
      </c>
      <c r="E19" s="11" t="s">
        <v>59</v>
      </c>
      <c r="F19" s="12">
        <v>600</v>
      </c>
      <c r="G19" s="11"/>
    </row>
    <row r="20" spans="1:7" x14ac:dyDescent="0.2">
      <c r="A20" s="13">
        <v>16</v>
      </c>
      <c r="B20" s="14" t="s">
        <v>75</v>
      </c>
      <c r="C20" s="14" t="s">
        <v>48</v>
      </c>
      <c r="D20" s="14" t="s">
        <v>72</v>
      </c>
      <c r="E20" s="14" t="s">
        <v>43</v>
      </c>
      <c r="F20" s="15">
        <v>200</v>
      </c>
      <c r="G20" s="14"/>
    </row>
    <row r="21" spans="1:7" x14ac:dyDescent="0.2">
      <c r="A21" s="16"/>
      <c r="B21" s="17" t="s">
        <v>76</v>
      </c>
      <c r="C21" s="16"/>
      <c r="D21" s="16"/>
      <c r="E21" s="16"/>
      <c r="F21" s="18">
        <f>SUM(F5:F20)</f>
        <v>173984</v>
      </c>
      <c r="G21" s="16"/>
    </row>
    <row r="23" spans="1:7" x14ac:dyDescent="0.2">
      <c r="B23" s="2" t="s">
        <v>77</v>
      </c>
    </row>
    <row r="24" spans="1:7" x14ac:dyDescent="0.2">
      <c r="B24" s="2" t="s">
        <v>78</v>
      </c>
    </row>
  </sheetData>
  <autoFilter ref="A4:G2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5" customWidth="1"/>
    <col min="2" max="2" width="36" customWidth="1"/>
    <col min="3" max="3" width="18" customWidth="1"/>
    <col min="4" max="4" width="24" customWidth="1"/>
    <col min="5" max="5" width="20" customWidth="1"/>
    <col min="6" max="6" width="16" customWidth="1"/>
    <col min="7" max="7" width="58" customWidth="1"/>
  </cols>
  <sheetData>
    <row r="1" spans="1:7" ht="19.5" customHeight="1" x14ac:dyDescent="0.2">
      <c r="A1" s="6" t="s">
        <v>79</v>
      </c>
    </row>
    <row r="2" spans="1:7" x14ac:dyDescent="0.2">
      <c r="A2" s="7" t="s">
        <v>80</v>
      </c>
      <c r="B2" s="8"/>
      <c r="C2" s="8"/>
      <c r="D2" s="8"/>
      <c r="E2" s="8"/>
      <c r="F2" s="8"/>
      <c r="G2" s="8"/>
    </row>
    <row r="4" spans="1:7" ht="30" customHeight="1" x14ac:dyDescent="0.2">
      <c r="A4" s="9" t="s">
        <v>29</v>
      </c>
      <c r="B4" s="9" t="s">
        <v>30</v>
      </c>
      <c r="C4" s="9" t="s">
        <v>31</v>
      </c>
      <c r="D4" s="9" t="s">
        <v>81</v>
      </c>
      <c r="E4" s="9" t="s">
        <v>10</v>
      </c>
      <c r="F4" s="9" t="s">
        <v>33</v>
      </c>
      <c r="G4" s="9" t="s">
        <v>16</v>
      </c>
    </row>
    <row r="5" spans="1:7" x14ac:dyDescent="0.2">
      <c r="A5" s="10">
        <v>1</v>
      </c>
      <c r="B5" s="11" t="s">
        <v>82</v>
      </c>
      <c r="C5" s="11" t="s">
        <v>83</v>
      </c>
      <c r="D5" s="11" t="s">
        <v>84</v>
      </c>
      <c r="E5" s="11" t="s">
        <v>63</v>
      </c>
      <c r="F5" s="12">
        <v>21970</v>
      </c>
      <c r="G5" s="11"/>
    </row>
    <row r="6" spans="1:7" x14ac:dyDescent="0.2">
      <c r="A6" s="13">
        <v>2</v>
      </c>
      <c r="B6" s="14" t="s">
        <v>85</v>
      </c>
      <c r="C6" s="14" t="s">
        <v>71</v>
      </c>
      <c r="D6" s="14" t="s">
        <v>84</v>
      </c>
      <c r="E6" s="14" t="s">
        <v>73</v>
      </c>
      <c r="F6" s="15">
        <v>15012</v>
      </c>
      <c r="G6" s="14"/>
    </row>
    <row r="7" spans="1:7" x14ac:dyDescent="0.2">
      <c r="A7" s="10">
        <v>3</v>
      </c>
      <c r="B7" s="11" t="s">
        <v>86</v>
      </c>
      <c r="C7" s="11" t="s">
        <v>87</v>
      </c>
      <c r="D7" s="11" t="s">
        <v>84</v>
      </c>
      <c r="E7" s="11" t="s">
        <v>88</v>
      </c>
      <c r="F7" s="12">
        <v>12556</v>
      </c>
      <c r="G7" s="11"/>
    </row>
    <row r="8" spans="1:7" x14ac:dyDescent="0.2">
      <c r="A8" s="13">
        <v>4</v>
      </c>
      <c r="B8" s="14" t="s">
        <v>89</v>
      </c>
      <c r="C8" s="14" t="s">
        <v>55</v>
      </c>
      <c r="D8" s="14" t="s">
        <v>90</v>
      </c>
      <c r="E8" s="14" t="s">
        <v>56</v>
      </c>
      <c r="F8" s="15">
        <v>11372</v>
      </c>
      <c r="G8" s="14"/>
    </row>
    <row r="9" spans="1:7" x14ac:dyDescent="0.2">
      <c r="A9" s="10">
        <v>5</v>
      </c>
      <c r="B9" s="11" t="s">
        <v>91</v>
      </c>
      <c r="C9" s="11" t="s">
        <v>51</v>
      </c>
      <c r="D9" s="11" t="s">
        <v>84</v>
      </c>
      <c r="E9" s="11" t="s">
        <v>53</v>
      </c>
      <c r="F9" s="12">
        <v>8833</v>
      </c>
      <c r="G9" s="11"/>
    </row>
    <row r="10" spans="1:7" x14ac:dyDescent="0.2">
      <c r="A10" s="13">
        <v>6</v>
      </c>
      <c r="B10" s="14" t="s">
        <v>92</v>
      </c>
      <c r="C10" s="14" t="s">
        <v>58</v>
      </c>
      <c r="D10" s="14" t="s">
        <v>84</v>
      </c>
      <c r="E10" s="14" t="s">
        <v>59</v>
      </c>
      <c r="F10" s="15">
        <v>8419</v>
      </c>
      <c r="G10" s="14"/>
    </row>
    <row r="11" spans="1:7" x14ac:dyDescent="0.2">
      <c r="A11" s="10">
        <v>7</v>
      </c>
      <c r="B11" s="11" t="s">
        <v>93</v>
      </c>
      <c r="C11" s="11" t="s">
        <v>45</v>
      </c>
      <c r="D11" s="11" t="s">
        <v>84</v>
      </c>
      <c r="E11" s="11" t="s">
        <v>43</v>
      </c>
      <c r="F11" s="12">
        <v>7965</v>
      </c>
      <c r="G11" s="11"/>
    </row>
    <row r="12" spans="1:7" x14ac:dyDescent="0.2">
      <c r="A12" s="13">
        <v>8</v>
      </c>
      <c r="B12" s="14" t="s">
        <v>94</v>
      </c>
      <c r="C12" s="14" t="s">
        <v>48</v>
      </c>
      <c r="D12" s="14" t="s">
        <v>95</v>
      </c>
      <c r="E12" s="14" t="s">
        <v>43</v>
      </c>
      <c r="F12" s="15">
        <v>5914</v>
      </c>
      <c r="G12" s="14"/>
    </row>
    <row r="13" spans="1:7" x14ac:dyDescent="0.2">
      <c r="A13" s="10">
        <v>9</v>
      </c>
      <c r="B13" s="11" t="s">
        <v>96</v>
      </c>
      <c r="C13" s="11" t="s">
        <v>51</v>
      </c>
      <c r="D13" s="11" t="s">
        <v>97</v>
      </c>
      <c r="E13" s="11" t="s">
        <v>53</v>
      </c>
      <c r="F13" s="12" t="s">
        <v>98</v>
      </c>
      <c r="G13" s="11"/>
    </row>
    <row r="14" spans="1:7" x14ac:dyDescent="0.2">
      <c r="A14" s="16"/>
      <c r="B14" s="17" t="s">
        <v>76</v>
      </c>
      <c r="C14" s="16"/>
      <c r="D14" s="16"/>
      <c r="E14" s="16"/>
      <c r="F14" s="18">
        <f>SUM(F5:F13)</f>
        <v>92041</v>
      </c>
      <c r="G14" s="16"/>
    </row>
    <row r="16" spans="1:7" x14ac:dyDescent="0.2">
      <c r="B16" s="2" t="s">
        <v>99</v>
      </c>
    </row>
    <row r="17" spans="2:2" x14ac:dyDescent="0.2">
      <c r="B17" s="2" t="s">
        <v>100</v>
      </c>
    </row>
  </sheetData>
  <autoFilter ref="A4:G13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showGridLines="0" tabSelected="1" zoomScaleNormal="100" workbookViewId="0">
      <pane ySplit="4" topLeftCell="A5" activePane="bottomLeft" state="frozen"/>
      <selection pane="bottomLeft" activeCell="B36" sqref="B36"/>
    </sheetView>
  </sheetViews>
  <sheetFormatPr baseColWidth="10" defaultColWidth="8.6640625" defaultRowHeight="15" x14ac:dyDescent="0.2"/>
  <cols>
    <col min="1" max="1" width="5" customWidth="1"/>
    <col min="2" max="2" width="40" customWidth="1"/>
    <col min="3" max="4" width="18" customWidth="1"/>
    <col min="5" max="5" width="12" customWidth="1"/>
    <col min="6" max="6" width="10" customWidth="1"/>
    <col min="7" max="7" width="14" customWidth="1"/>
    <col min="8" max="8" width="52" customWidth="1"/>
  </cols>
  <sheetData>
    <row r="1" spans="1:8" ht="19.5" customHeight="1" x14ac:dyDescent="0.2">
      <c r="A1" s="6" t="s">
        <v>101</v>
      </c>
    </row>
    <row r="2" spans="1:8" x14ac:dyDescent="0.2">
      <c r="A2" s="7" t="s">
        <v>102</v>
      </c>
      <c r="B2" s="8"/>
      <c r="C2" s="8"/>
      <c r="D2" s="8"/>
      <c r="E2" s="8"/>
      <c r="F2" s="8"/>
      <c r="G2" s="8"/>
      <c r="H2" s="8"/>
    </row>
    <row r="4" spans="1:8" ht="30" customHeight="1" x14ac:dyDescent="0.2">
      <c r="A4" s="9" t="s">
        <v>29</v>
      </c>
      <c r="B4" s="9" t="s">
        <v>103</v>
      </c>
      <c r="C4" s="9" t="s">
        <v>104</v>
      </c>
      <c r="D4" s="9" t="s">
        <v>105</v>
      </c>
      <c r="E4" s="9" t="s">
        <v>106</v>
      </c>
      <c r="F4" s="9" t="s">
        <v>14</v>
      </c>
      <c r="G4" s="9" t="s">
        <v>107</v>
      </c>
      <c r="H4" s="9" t="s">
        <v>16</v>
      </c>
    </row>
    <row r="5" spans="1:8" x14ac:dyDescent="0.2">
      <c r="A5" s="10">
        <v>1</v>
      </c>
      <c r="B5" s="11" t="s">
        <v>108</v>
      </c>
      <c r="C5" s="11" t="s">
        <v>48</v>
      </c>
      <c r="D5" s="11" t="s">
        <v>48</v>
      </c>
      <c r="E5" s="12">
        <v>90452</v>
      </c>
      <c r="F5" s="12">
        <v>191</v>
      </c>
      <c r="G5" s="12">
        <f t="shared" ref="G5:G24" si="0">IF(F5=0,"-",E5/F5)</f>
        <v>473.57068062827227</v>
      </c>
      <c r="H5" s="11"/>
    </row>
    <row r="6" spans="1:8" x14ac:dyDescent="0.2">
      <c r="A6" s="13">
        <v>2</v>
      </c>
      <c r="B6" s="14" t="s">
        <v>109</v>
      </c>
      <c r="C6" s="14" t="s">
        <v>61</v>
      </c>
      <c r="D6" s="14" t="s">
        <v>110</v>
      </c>
      <c r="E6" s="15">
        <v>73532</v>
      </c>
      <c r="F6" s="15">
        <v>146</v>
      </c>
      <c r="G6" s="15">
        <f t="shared" si="0"/>
        <v>503.64383561643837</v>
      </c>
      <c r="H6" s="19" t="s">
        <v>111</v>
      </c>
    </row>
    <row r="7" spans="1:8" x14ac:dyDescent="0.2">
      <c r="A7" s="10">
        <v>3</v>
      </c>
      <c r="B7" s="11" t="s">
        <v>112</v>
      </c>
      <c r="C7" s="11" t="s">
        <v>113</v>
      </c>
      <c r="D7" s="11" t="s">
        <v>114</v>
      </c>
      <c r="E7" s="12">
        <v>61243</v>
      </c>
      <c r="F7" s="12">
        <v>89</v>
      </c>
      <c r="G7" s="12">
        <f t="shared" si="0"/>
        <v>688.12359550561803</v>
      </c>
      <c r="H7" s="20" t="s">
        <v>115</v>
      </c>
    </row>
    <row r="8" spans="1:8" x14ac:dyDescent="0.2">
      <c r="A8" s="13">
        <v>4</v>
      </c>
      <c r="B8" s="14" t="s">
        <v>116</v>
      </c>
      <c r="C8" s="14" t="s">
        <v>117</v>
      </c>
      <c r="D8" s="14" t="s">
        <v>118</v>
      </c>
      <c r="E8" s="15">
        <v>51980</v>
      </c>
      <c r="F8" s="15">
        <v>69</v>
      </c>
      <c r="G8" s="15">
        <f t="shared" si="0"/>
        <v>753.33333333333337</v>
      </c>
      <c r="H8" s="19" t="s">
        <v>119</v>
      </c>
    </row>
    <row r="9" spans="1:8" x14ac:dyDescent="0.2">
      <c r="A9" s="10">
        <v>5</v>
      </c>
      <c r="B9" s="11" t="s">
        <v>120</v>
      </c>
      <c r="C9" s="11" t="s">
        <v>51</v>
      </c>
      <c r="D9" s="11" t="s">
        <v>121</v>
      </c>
      <c r="E9" s="12">
        <v>38702</v>
      </c>
      <c r="F9" s="12">
        <v>58</v>
      </c>
      <c r="G9" s="12">
        <f t="shared" si="0"/>
        <v>667.27586206896547</v>
      </c>
      <c r="H9" s="20" t="s">
        <v>122</v>
      </c>
    </row>
    <row r="10" spans="1:8" x14ac:dyDescent="0.2">
      <c r="A10" s="13">
        <v>6</v>
      </c>
      <c r="B10" s="14" t="s">
        <v>123</v>
      </c>
      <c r="C10" s="14" t="s">
        <v>124</v>
      </c>
      <c r="D10" s="14" t="s">
        <v>125</v>
      </c>
      <c r="E10" s="15">
        <v>34466</v>
      </c>
      <c r="F10" s="15">
        <v>54</v>
      </c>
      <c r="G10" s="15">
        <f t="shared" si="0"/>
        <v>638.25925925925924</v>
      </c>
      <c r="H10" s="19" t="s">
        <v>126</v>
      </c>
    </row>
    <row r="11" spans="1:8" x14ac:dyDescent="0.2">
      <c r="A11" s="10">
        <v>7</v>
      </c>
      <c r="B11" s="11" t="s">
        <v>127</v>
      </c>
      <c r="C11" s="11" t="s">
        <v>128</v>
      </c>
      <c r="D11" s="11" t="s">
        <v>129</v>
      </c>
      <c r="E11" s="12">
        <v>31607</v>
      </c>
      <c r="F11" s="12">
        <v>54</v>
      </c>
      <c r="G11" s="12">
        <f t="shared" si="0"/>
        <v>585.31481481481478</v>
      </c>
      <c r="H11" s="20" t="s">
        <v>130</v>
      </c>
    </row>
    <row r="12" spans="1:8" x14ac:dyDescent="0.2">
      <c r="A12" s="13">
        <v>8</v>
      </c>
      <c r="B12" s="14" t="s">
        <v>131</v>
      </c>
      <c r="C12" s="14" t="s">
        <v>35</v>
      </c>
      <c r="D12" s="14" t="s">
        <v>35</v>
      </c>
      <c r="E12" s="15">
        <v>27988</v>
      </c>
      <c r="F12" s="15">
        <v>56</v>
      </c>
      <c r="G12" s="15">
        <f t="shared" si="0"/>
        <v>499.78571428571428</v>
      </c>
      <c r="H12" s="19" t="s">
        <v>132</v>
      </c>
    </row>
    <row r="13" spans="1:8" x14ac:dyDescent="0.2">
      <c r="A13" s="10">
        <v>9</v>
      </c>
      <c r="B13" s="11" t="s">
        <v>133</v>
      </c>
      <c r="C13" s="11" t="s">
        <v>134</v>
      </c>
      <c r="D13" s="11" t="s">
        <v>125</v>
      </c>
      <c r="E13" s="12">
        <v>24046</v>
      </c>
      <c r="F13" s="12">
        <v>33</v>
      </c>
      <c r="G13" s="12">
        <f t="shared" si="0"/>
        <v>728.66666666666663</v>
      </c>
      <c r="H13" s="20" t="s">
        <v>135</v>
      </c>
    </row>
    <row r="14" spans="1:8" x14ac:dyDescent="0.2">
      <c r="A14" s="13">
        <v>10</v>
      </c>
      <c r="B14" s="23" t="s">
        <v>136</v>
      </c>
      <c r="C14" s="14" t="s">
        <v>137</v>
      </c>
      <c r="D14" s="14" t="s">
        <v>138</v>
      </c>
      <c r="E14" s="15">
        <v>19960</v>
      </c>
      <c r="F14" s="15">
        <v>42</v>
      </c>
      <c r="G14" s="15">
        <f t="shared" si="0"/>
        <v>475.23809523809524</v>
      </c>
      <c r="H14" s="19" t="s">
        <v>139</v>
      </c>
    </row>
    <row r="15" spans="1:8" x14ac:dyDescent="0.2">
      <c r="A15" s="10">
        <v>11</v>
      </c>
      <c r="B15" s="11" t="s">
        <v>140</v>
      </c>
      <c r="C15" s="11" t="s">
        <v>71</v>
      </c>
      <c r="D15" s="11" t="s">
        <v>118</v>
      </c>
      <c r="E15" s="12">
        <v>13109</v>
      </c>
      <c r="F15" s="12">
        <v>20</v>
      </c>
      <c r="G15" s="12">
        <f t="shared" si="0"/>
        <v>655.45</v>
      </c>
      <c r="H15" s="11"/>
    </row>
    <row r="16" spans="1:8" x14ac:dyDescent="0.2">
      <c r="A16" s="13">
        <v>12</v>
      </c>
      <c r="B16" s="14" t="s">
        <v>141</v>
      </c>
      <c r="C16" s="14" t="s">
        <v>83</v>
      </c>
      <c r="D16" s="14" t="s">
        <v>125</v>
      </c>
      <c r="E16" s="15">
        <v>7724</v>
      </c>
      <c r="F16" s="15">
        <v>15</v>
      </c>
      <c r="G16" s="15">
        <f t="shared" si="0"/>
        <v>514.93333333333328</v>
      </c>
      <c r="H16" s="14"/>
    </row>
    <row r="17" spans="1:8" x14ac:dyDescent="0.2">
      <c r="A17" s="10">
        <v>13</v>
      </c>
      <c r="B17" s="11" t="s">
        <v>142</v>
      </c>
      <c r="C17" s="11" t="s">
        <v>124</v>
      </c>
      <c r="D17" s="11" t="s">
        <v>125</v>
      </c>
      <c r="E17" s="12">
        <v>7095</v>
      </c>
      <c r="F17" s="12">
        <v>20</v>
      </c>
      <c r="G17" s="12">
        <f t="shared" si="0"/>
        <v>354.75</v>
      </c>
      <c r="H17" s="20" t="s">
        <v>143</v>
      </c>
    </row>
    <row r="18" spans="1:8" x14ac:dyDescent="0.2">
      <c r="A18" s="13">
        <v>14</v>
      </c>
      <c r="B18" s="14" t="s">
        <v>144</v>
      </c>
      <c r="C18" s="14" t="s">
        <v>145</v>
      </c>
      <c r="D18" s="14" t="s">
        <v>125</v>
      </c>
      <c r="E18" s="15">
        <v>5221</v>
      </c>
      <c r="F18" s="15">
        <v>12</v>
      </c>
      <c r="G18" s="15">
        <f t="shared" si="0"/>
        <v>435.08333333333331</v>
      </c>
      <c r="H18" s="14"/>
    </row>
    <row r="19" spans="1:8" x14ac:dyDescent="0.2">
      <c r="A19" s="10">
        <v>15</v>
      </c>
      <c r="B19" s="11" t="s">
        <v>146</v>
      </c>
      <c r="C19" s="11" t="s">
        <v>147</v>
      </c>
      <c r="D19" s="11" t="s">
        <v>148</v>
      </c>
      <c r="E19" s="12">
        <v>2503</v>
      </c>
      <c r="F19" s="12">
        <v>7</v>
      </c>
      <c r="G19" s="12">
        <f t="shared" si="0"/>
        <v>357.57142857142856</v>
      </c>
      <c r="H19" s="11"/>
    </row>
    <row r="20" spans="1:8" x14ac:dyDescent="0.2">
      <c r="A20" s="13">
        <v>16</v>
      </c>
      <c r="B20" s="14" t="s">
        <v>149</v>
      </c>
      <c r="C20" s="14" t="s">
        <v>150</v>
      </c>
      <c r="D20" s="14" t="s">
        <v>118</v>
      </c>
      <c r="E20" s="15">
        <v>2406</v>
      </c>
      <c r="F20" s="15">
        <v>9</v>
      </c>
      <c r="G20" s="15">
        <f t="shared" si="0"/>
        <v>267.33333333333331</v>
      </c>
      <c r="H20" s="14"/>
    </row>
    <row r="21" spans="1:8" x14ac:dyDescent="0.2">
      <c r="A21" s="10">
        <v>17</v>
      </c>
      <c r="B21" s="11" t="s">
        <v>151</v>
      </c>
      <c r="C21" s="11" t="s">
        <v>152</v>
      </c>
      <c r="D21" s="11" t="s">
        <v>153</v>
      </c>
      <c r="E21" s="12">
        <v>2282</v>
      </c>
      <c r="F21" s="12">
        <v>7</v>
      </c>
      <c r="G21" s="12">
        <f t="shared" si="0"/>
        <v>326</v>
      </c>
      <c r="H21" s="11"/>
    </row>
    <row r="22" spans="1:8" x14ac:dyDescent="0.2">
      <c r="A22" s="13">
        <v>18</v>
      </c>
      <c r="B22" s="14" t="s">
        <v>154</v>
      </c>
      <c r="C22" s="14" t="s">
        <v>155</v>
      </c>
      <c r="D22" s="14" t="s">
        <v>121</v>
      </c>
      <c r="E22" s="15">
        <v>1793</v>
      </c>
      <c r="F22" s="15">
        <v>6</v>
      </c>
      <c r="G22" s="15">
        <f t="shared" si="0"/>
        <v>298.83333333333331</v>
      </c>
      <c r="H22" s="14"/>
    </row>
    <row r="23" spans="1:8" x14ac:dyDescent="0.2">
      <c r="A23" s="10">
        <v>19</v>
      </c>
      <c r="B23" s="11" t="s">
        <v>156</v>
      </c>
      <c r="C23" s="11" t="s">
        <v>157</v>
      </c>
      <c r="D23" s="11" t="s">
        <v>118</v>
      </c>
      <c r="E23" s="12">
        <v>1018</v>
      </c>
      <c r="F23" s="12">
        <v>5</v>
      </c>
      <c r="G23" s="12">
        <f t="shared" si="0"/>
        <v>203.6</v>
      </c>
      <c r="H23" s="11"/>
    </row>
    <row r="24" spans="1:8" x14ac:dyDescent="0.2">
      <c r="A24" s="16"/>
      <c r="B24" s="17" t="s">
        <v>158</v>
      </c>
      <c r="C24" s="16"/>
      <c r="D24" s="16"/>
      <c r="E24" s="21">
        <f>SUM(E5:E23)</f>
        <v>497127</v>
      </c>
      <c r="F24" s="21">
        <f>SUM(F5:F23)</f>
        <v>893</v>
      </c>
      <c r="G24" s="21">
        <f t="shared" si="0"/>
        <v>556.69316909294514</v>
      </c>
      <c r="H24" s="16"/>
    </row>
    <row r="26" spans="1:8" x14ac:dyDescent="0.2">
      <c r="B26" s="2" t="s">
        <v>159</v>
      </c>
    </row>
    <row r="27" spans="1:8" x14ac:dyDescent="0.2">
      <c r="B27" s="3" t="s">
        <v>160</v>
      </c>
      <c r="E27" s="22">
        <f>SUM(E5:E9)/E24</f>
        <v>0.63546940721385081</v>
      </c>
    </row>
    <row r="28" spans="1:8" x14ac:dyDescent="0.2">
      <c r="B28" s="3" t="s">
        <v>161</v>
      </c>
      <c r="F28" s="22">
        <f>SUM(F5:F9)/F24</f>
        <v>0.6192609182530795</v>
      </c>
    </row>
    <row r="30" spans="1:8" x14ac:dyDescent="0.2">
      <c r="B30" s="2" t="s">
        <v>162</v>
      </c>
    </row>
    <row r="31" spans="1:8" x14ac:dyDescent="0.2">
      <c r="B31" s="2" t="s">
        <v>163</v>
      </c>
    </row>
  </sheetData>
  <autoFilter ref="A4:H23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4-Year Colleges</vt:lpstr>
      <vt:lpstr>Community Colleges</vt:lpstr>
      <vt:lpstr>School Districts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kristin booth</cp:lastModifiedBy>
  <cp:revision>0</cp:revision>
  <dcterms:created xsi:type="dcterms:W3CDTF">2026-08-14T22:33:39Z</dcterms:created>
  <dcterms:modified xsi:type="dcterms:W3CDTF">2026-08-15T19:32:33Z</dcterms:modified>
  <dc:language>en-US</dc:language>
</cp:coreProperties>
</file>